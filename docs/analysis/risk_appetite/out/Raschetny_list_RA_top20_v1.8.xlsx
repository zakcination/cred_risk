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Метрики — ряд" sheetId="4" state="visible" r:id="rId4"/>
    <sheet xmlns:r="http://schemas.openxmlformats.org/officeDocument/2006/relationships" name="Расчёт" sheetId="5" state="visible" r:id="rId5"/>
    <sheet xmlns:r="http://schemas.openxmlformats.org/officeDocument/2006/relationships" name="Обоснование методов" sheetId="6" state="visible" r:id="rId6"/>
    <sheet xmlns:r="http://schemas.openxmlformats.org/officeDocument/2006/relationships" name="Зоны" sheetId="7" state="visible" r:id="rId7"/>
    <sheet xmlns:r="http://schemas.openxmlformats.org/officeDocument/2006/relationships" name="Две сигмы" sheetId="8" state="visible" r:id="rId8"/>
    <sheet xmlns:r="http://schemas.openxmlformats.org/officeDocument/2006/relationships" name="Метрики" sheetId="9" state="visible" r:id="rId9"/>
    <sheet xmlns:r="http://schemas.openxmlformats.org/officeDocument/2006/relationships" name="Триггеры" sheetId="10" state="visible" r:id="rId10"/>
  </sheets>
  <definedNames>
    <definedName name="v">'Ряд'!$H$5:$H$40</definedName>
    <definedName name="d">'Ряд'!$J$6:$J$40</definedName>
    <definedName name="cor_kb">'Ряд'!$O$5:$O$40</definedName>
    <definedName name="d_cor_kb">'Ряд'!$P$6:$P$40</definedName>
    <definedName name="cor_ms">'Ряд'!$R$5:$R$40</definedName>
    <definedName name="d_cor_ms">'Ряд'!$S$6:$S$40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  <definedName name="alpha">'Параметры'!$C$12</definedName>
    <definedName name="ad_crit">'Параметры'!$C$13</definedName>
    <definedName name="tau">'Параметры'!$C$14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8DDDA"/>
      </patternFill>
    </fill>
    <fill>
      <patternFill patternType="solid">
        <fgColor rgb="FFFDF2CF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169" fontId="4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/>
    </xf>
    <xf numFmtId="167" fontId="2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1" fontId="4" fillId="4" borderId="1" applyAlignment="1" pivotButton="0" quotePrefix="0" xfId="0">
      <alignment horizontal="center" vertical="top"/>
    </xf>
    <xf numFmtId="1" fontId="4" fillId="6" borderId="1" applyAlignment="1" pivotButton="0" quotePrefix="0" xfId="0">
      <alignment horizontal="center" vertical="top"/>
    </xf>
    <xf numFmtId="1" fontId="4" fillId="5" borderId="1" applyAlignment="1" pivotButton="0" quotePrefix="0" xfId="0">
      <alignment horizontal="center" vertical="top"/>
    </xf>
    <xf numFmtId="1" fontId="4" fillId="7" borderId="1" applyAlignment="1" pivotButton="0" quotePrefix="0" xfId="0">
      <alignment horizontal="center" vertical="top"/>
    </xf>
    <xf numFmtId="1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" fontId="5" fillId="0" borderId="1" applyAlignment="1" pivotButton="0" quotePrefix="0" xfId="0">
      <alignment horizontal="center" vertical="top"/>
    </xf>
    <xf numFmtId="168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572500" cy="737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9525000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9525000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43</row>
      <rowOff>0</rowOff>
    </from>
    <ext cx="10477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9525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24</row>
      <rowOff>0</rowOff>
    </from>
    <ext cx="10953750" cy="6162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15.09.2026, восьмая.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78" customHeight="1">
      <c r="A4" s="3" t="inlineStr">
        <is>
          <t>АНАЛИТИЧЕСКАЯ ПОВЕСТКА: что на что делится</t>
        </is>
      </c>
      <c r="B4" s="4" t="inlineStr">
        <is>
          <t>Книга отвечает на три РАЗНЫХ вопроса, и смешивать их нельзя. (1) КАКОЙ УРОВЕНЬ ГОТОВЫ ДЕРЖАТЬ — это риск-аппетит, он задаётся не волатильностью, а выживаемостью в сценарии; разбор вынесен в STRESS_ANCHOR.md. (2) КОГДА СМОТРЕТЬ ЧАЩЕ — это ЗОНА, и вся книга про неё. (3) КОГДА ДЕЙСТВОВАТЬ — это ТРИГГЕР, он смотрит на движение, а не на уровень. Зона и триггер ловят разное: январский вход топ-20 в красную сделан капиталом, и уровневая зона не предупреждала о нём в принципе.</t>
        </is>
      </c>
    </row>
    <row r="5" ht="104" customHeight="1">
      <c r="A5" s="3" t="inlineStr">
        <is>
          <t>РАЗВИЛКА МЕТОДА: как выбирается формула зоны</t>
        </is>
      </c>
      <c r="B5" s="4" t="inlineStr">
        <is>
          <t>Сначала проверяется, подчиняются ли приращения метрики нормальному распределению — лист «Расчёт», блок 8. Но формальная проверка НЕ решает: M(T) опирается не на приращение, а на СУММУ T приращений, которая по центральной предельной теореме ближе к нормальной. Решает вторая проверка — совпадает ли модельный квантиль z·σ·√T с фактическим 90-м процентилем реальных T-месячных изменений. Вердикт четырёхзначный, и направление расхождения важнее величины: СОВПАДАЕТ → M(T); МОДЕЛЬ ЗАВЫШАЕТ → M(T) годится, она консервативна, завышение объявляется; МОДЕЛЬ ЗАНИЖАЕТ → опасно, нужна замена; БУФЕР БОЛЬШЕ САМОГО ЛИМИТА → зона вырождается, метод непригоден по полезности. На нашем ряде: одиннадцать метрик на M(T), одна на замене.</t>
        </is>
      </c>
    </row>
    <row r="6" ht="91" customHeight="1">
      <c r="A6" s="3" t="inlineStr">
        <is>
          <t>ДВА МЕТОДА И ИХ ИСТОЧНИКИ</t>
        </is>
      </c>
      <c r="B6" s="4" t="inlineStr">
        <is>
          <t>Первый — запас времени M(T) = z(p)·σ_Δ·√T. Параметрический буфер на диффузию; то же построение, что у параметрического VaR. Обоснование — лист «Обоснование методов», блоки 1–4: независимость приращений, нормальность суммы, отсутствие сноса, устойчивость σ. Второй — эмпирический 90-й процентиль фактических T-месячных изменений, то есть историческая симуляция: BCBS d457 (MAR30) допускает её наравне с параметрической моделью, и при тяжёлых хвостах она в практике преобладает. Обоснование — блок 5 того же листа. Названия зон и их смысл — дословно п. 18 Правил № 86, своих формулировок нет.</t>
        </is>
      </c>
    </row>
    <row r="7" ht="104" customHeight="1">
      <c r="A7" s="3" t="inlineStr">
        <is>
          <t>Что в книге</t>
        </is>
      </c>
      <c r="B7" s="4" t="inlineStr">
        <is>
          <t>«Ряд» — 36 точек и всё, что считается построчно, обе базы капитала рядом, плюс режимные колонки T–AF (фев-март против остальных месяцев, Г36). «Параметры» — десять входов, из них вычисляются два; там же α, A²_крит и τ проверки нормальности. «Расчёт» — каждое опубликованное число живой формулой, блок 8 — проверка нормальности по каждой из двенадцати метрик. «Обоснование методов» — блоки 1–4 про M(T), блок 5 про её замену. «Зоны» — разметка топ-20 и где мы сейчас. «Две сигмы» — остаток Р-Д1. «Триггеры» — все 35 приростов топ-20 и два универсальных триггера по каждой из двенадцати метрик. «Метрики» — ВСЕ зоны на одной странице, с колонками «чем и почему посчитано».</t>
        </is>
      </c>
    </row>
    <row r="8" ht="52" customHeight="1">
      <c r="A8" s="3" t="inlineStr">
        <is>
          <t>Главное свойство</t>
        </is>
      </c>
      <c r="B8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9" ht="52" customHeight="1">
      <c r="A9" s="3" t="inlineStr">
        <is>
          <t>«Откуда 108,63»</t>
        </is>
      </c>
      <c r="B9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10" ht="52" customHeight="1">
      <c r="A10" s="3" t="inlineStr">
        <is>
          <t>«Почему корень из T»</t>
        </is>
      </c>
      <c r="B10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11" ht="52" customHeight="1">
      <c r="A11" s="3" t="inlineStr">
        <is>
          <t>«Почему нормальное распределение»</t>
        </is>
      </c>
      <c r="B11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методов», блок 2.</t>
        </is>
      </c>
    </row>
    <row r="12" ht="52" customHeight="1">
      <c r="A12" s="3" t="inlineStr">
        <is>
          <t>«А буфер не выдуман»</t>
        </is>
      </c>
      <c r="B12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3" ht="44" customHeight="1">
      <c r="A13" s="3" t="inlineStr">
        <is>
          <t>«Почему T = 3»</t>
        </is>
      </c>
      <c r="B13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4" ht="44" customHeight="1">
      <c r="A14" s="3" t="inlineStr">
        <is>
          <t>«Почему 90 %, а не 95 или 99»</t>
        </is>
      </c>
      <c r="B14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5" ht="44" customHeight="1">
      <c r="A15" s="3" t="inlineStr">
        <is>
          <t>«Где мы сейчас»</t>
        </is>
      </c>
      <c r="B15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6" ht="44" customHeight="1">
      <c r="A16" s="3" t="inlineStr">
        <is>
          <t>«А если ничего не менять»</t>
        </is>
      </c>
      <c r="B16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7" ht="32" customHeight="1">
      <c r="A17" s="5" t="inlineStr">
        <is>
          <t>Цепочка «риск-ёмкость → риск-аппетит → лимит → допустимый уровень → мера реагирования → контроль» и её фактические разрывы: целиком есть одно звено из шести.</t>
        </is>
      </c>
      <c r="B17" s="6" t="n"/>
      <c r="C17" s="6" t="n"/>
      <c r="D17" s="6" t="n"/>
      <c r="E17" s="6" t="n"/>
      <c r="F17" s="6" t="n"/>
      <c r="G17" s="7" t="n"/>
    </row>
    <row r="18" ht="44" customHeight="1">
      <c r="A18" s="3" t="inlineStr">
        <is>
          <t>Чего книга не доказывает</t>
        </is>
      </c>
      <c r="B18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</sheetData>
  <mergeCells count="2">
    <mergeCell ref="A2:B2"/>
    <mergeCell ref="A17:G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3" customWidth="1" min="32" max="32"/>
  </cols>
  <sheetData>
    <row r="1">
      <c r="A1" s="1" t="inlineStr">
        <is>
          <t>Ряд топ-20: 36 месячных точек, 01.08.2023 — 01.07.2026</t>
        </is>
      </c>
    </row>
    <row r="2" ht="5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 Колонки N–S — CoR по КБ/ПБ и по МСБ из того же файла, 36 из 36: в первой сборке листа «Метрики» они были ошибочно взяты из квартального ряда.</t>
        </is>
      </c>
    </row>
    <row r="4" ht="32" customHeight="1">
      <c r="A4" s="8" t="inlineStr">
        <is>
          <t>Дата</t>
        </is>
      </c>
      <c r="B4" s="8" t="inlineStr">
        <is>
          <t>Займ топ-20, млн ₸</t>
        </is>
      </c>
      <c r="C4" s="8" t="inlineStr">
        <is>
          <t>СК регуляторный, млн ₸</t>
        </is>
      </c>
      <c r="D4" s="8" t="inlineStr">
        <is>
          <t>СК балансовый, млн ₸</t>
        </is>
      </c>
      <c r="E4" s="8" t="inlineStr">
        <is>
          <t>coef_reg (доля)</t>
        </is>
      </c>
      <c r="F4" s="8" t="inlineStr">
        <is>
          <t>v_reg = coef_reg × 100</t>
        </is>
      </c>
      <c r="G4" s="8" t="inlineStr">
        <is>
          <t>coef_new (доля)</t>
        </is>
      </c>
      <c r="H4" s="8" t="inlineStr">
        <is>
          <t>v_new = coef_new × 100</t>
        </is>
      </c>
      <c r="I4" s="8" t="inlineStr">
        <is>
          <t>Разрыв баз: v_new − v_reg</t>
        </is>
      </c>
      <c r="J4" s="8" t="inlineStr">
        <is>
          <t>Δ = v_new(t) − v_new(t−1)</t>
        </is>
      </c>
      <c r="K4" s="8" t="inlineStr">
        <is>
          <t>ΔСК балансовый, %</t>
        </is>
      </c>
      <c r="L4" s="8" t="inlineStr">
        <is>
          <t>ΔЗайм, %</t>
        </is>
      </c>
      <c r="M4" s="8" t="inlineStr">
        <is>
          <t>Триггер</t>
        </is>
      </c>
      <c r="N4" s="8" t="inlineStr">
        <is>
          <t>cor_kb_pb (доля)</t>
        </is>
      </c>
      <c r="O4" s="8" t="inlineStr">
        <is>
          <t>CoR КБ/ПБ, %</t>
        </is>
      </c>
      <c r="P4" s="8" t="inlineStr">
        <is>
          <t>Δ CoR КБ/ПБ</t>
        </is>
      </c>
      <c r="Q4" s="8" t="inlineStr">
        <is>
          <t>cor_msb (доля)</t>
        </is>
      </c>
      <c r="R4" s="8" t="inlineStr">
        <is>
          <t>CoR МСБ, %</t>
        </is>
      </c>
      <c r="S4" s="8" t="inlineStr">
        <is>
          <t>Δ CoR МСБ</t>
        </is>
      </c>
      <c r="T4" s="8" t="inlineStr">
        <is>
          <t>Окно закрытия? (фев/март)</t>
        </is>
      </c>
      <c r="U4" s="8" t="inlineStr">
        <is>
          <t>Δ КБ/ПБ обычн.</t>
        </is>
      </c>
      <c r="V4" s="8" t="inlineStr">
        <is>
          <t>Δ КБ/ПБ закр.</t>
        </is>
      </c>
      <c r="W4" s="8" t="inlineStr">
        <is>
          <t>Изм. КБ/ПБ за 4 мес</t>
        </is>
      </c>
      <c r="X4" s="8" t="inlineStr">
        <is>
          <t>Окно 4 мес задело закрытие?</t>
        </is>
      </c>
      <c r="Y4" s="8" t="inlineStr">
        <is>
          <t>4 мес КБ/ПБ обычн.</t>
        </is>
      </c>
      <c r="Z4" s="8" t="inlineStr">
        <is>
          <t>4 мес КБ/ПБ закр.</t>
        </is>
      </c>
      <c r="AA4" s="8" t="inlineStr">
        <is>
          <t>Δ МСБ обычн.</t>
        </is>
      </c>
      <c r="AB4" s="8" t="inlineStr">
        <is>
          <t>Δ МСБ закр.</t>
        </is>
      </c>
      <c r="AC4" s="8" t="inlineStr">
        <is>
          <t>Изм. МСБ за 4 мес</t>
        </is>
      </c>
      <c r="AD4" s="8" t="inlineStr">
        <is>
          <t>4 мес МСБ обычн.</t>
        </is>
      </c>
      <c r="AE4" s="8" t="inlineStr">
        <is>
          <t>4 мес МСБ закр.</t>
        </is>
      </c>
      <c r="AF4" s="8" t="inlineStr">
        <is>
          <t>Изм. топ-20 за 4 мес</t>
        </is>
      </c>
    </row>
    <row r="5">
      <c r="A5" s="9" t="inlineStr">
        <is>
          <t>2023-08-01</t>
        </is>
      </c>
      <c r="B5" s="10" t="n">
        <v>323730.9</v>
      </c>
      <c r="C5" s="10" t="n">
        <v>413937.118</v>
      </c>
      <c r="D5" s="10" t="n">
        <v>322505.417</v>
      </c>
      <c r="E5" s="11">
        <f>IF(C5="","",B5/C5)</f>
        <v/>
      </c>
      <c r="F5" s="12">
        <f>IF(E5="","",E5*100)</f>
        <v/>
      </c>
      <c r="G5" s="11">
        <f>B5/D5</f>
        <v/>
      </c>
      <c r="H5" s="12">
        <f>G5*100</f>
        <v/>
      </c>
      <c r="I5" s="12">
        <f>IF(F5="","",H5-F5)</f>
        <v/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1" t="n">
        <v>0.02271529921</v>
      </c>
      <c r="O5" s="12">
        <f>N5*100</f>
        <v/>
      </c>
      <c r="P5" s="13" t="inlineStr">
        <is>
          <t>—</t>
        </is>
      </c>
      <c r="Q5" s="11" t="n">
        <v>-0.0001482371103</v>
      </c>
      <c r="R5" s="12">
        <f>Q5*100</f>
        <v/>
      </c>
      <c r="S5" s="13" t="inlineStr">
        <is>
          <t>—</t>
        </is>
      </c>
      <c r="T5" s="14">
        <f>IF(OR(MID(A5,6,2)="02",MID(A5,6,2)="03"),1,0)</f>
        <v/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</row>
    <row r="6">
      <c r="A6" s="9" t="inlineStr">
        <is>
          <t>2023-09-01</t>
        </is>
      </c>
      <c r="B6" s="10" t="n">
        <v>323218.4</v>
      </c>
      <c r="C6" s="10" t="n">
        <v>422472.24</v>
      </c>
      <c r="D6" s="10" t="n">
        <v>331426.59</v>
      </c>
      <c r="E6" s="11">
        <f>IF(C6="","",B6/C6)</f>
        <v/>
      </c>
      <c r="F6" s="12">
        <f>IF(E6="","",E6*100)</f>
        <v/>
      </c>
      <c r="G6" s="11">
        <f>B6/D6</f>
        <v/>
      </c>
      <c r="H6" s="12">
        <f>G6*100</f>
        <v/>
      </c>
      <c r="I6" s="12">
        <f>IF(F6="","",H6-F6)</f>
        <v/>
      </c>
      <c r="J6" s="12">
        <f>H6-H5</f>
        <v/>
      </c>
      <c r="K6" s="15">
        <f>(D6-D5)/D5*100</f>
        <v/>
      </c>
      <c r="L6" s="15">
        <f>(B6-B5)/B5*100</f>
        <v/>
      </c>
      <c r="M6" s="16">
        <f>IF(AND(K6&lt;=por_sk,L6&gt;=por_zaim),"оба",IF(K6&lt;=por_sk,"СК",IF(L6&gt;=por_zaim,"Займ","")))</f>
        <v/>
      </c>
      <c r="N6" s="11" t="n">
        <v>0.01849831153</v>
      </c>
      <c r="O6" s="12">
        <f>N6*100</f>
        <v/>
      </c>
      <c r="P6" s="12">
        <f>O6-O5</f>
        <v/>
      </c>
      <c r="Q6" s="11" t="n">
        <v>-0.00579114117</v>
      </c>
      <c r="R6" s="12">
        <f>Q6*100</f>
        <v/>
      </c>
      <c r="S6" s="12">
        <f>R6-R5</f>
        <v/>
      </c>
      <c r="T6" s="14">
        <f>IF(OR(MID(A6,6,2)="02",MID(A6,6,2)="03"),1,0)</f>
        <v/>
      </c>
      <c r="U6" s="12">
        <f>IF(T6=0,P6,"")</f>
        <v/>
      </c>
      <c r="V6" s="12">
        <f>IF(T6=1,P6,"")</f>
        <v/>
      </c>
      <c r="W6" s="13" t="inlineStr">
        <is>
          <t>—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2">
        <f>IF(T6=0,S6,"")</f>
        <v/>
      </c>
      <c r="AB6" s="12">
        <f>IF(T6=1,S6,"")</f>
        <v/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</row>
    <row r="7">
      <c r="A7" s="9" t="inlineStr">
        <is>
          <t>2023-10-01</t>
        </is>
      </c>
      <c r="B7" s="10" t="n">
        <v>327285</v>
      </c>
      <c r="C7" s="10" t="n">
        <v>429717.914</v>
      </c>
      <c r="D7" s="10" t="n">
        <v>339057.933</v>
      </c>
      <c r="E7" s="11">
        <f>IF(C7="","",B7/C7)</f>
        <v/>
      </c>
      <c r="F7" s="12">
        <f>IF(E7="","",E7*100)</f>
        <v/>
      </c>
      <c r="G7" s="11">
        <f>B7/D7</f>
        <v/>
      </c>
      <c r="H7" s="12">
        <f>G7*100</f>
        <v/>
      </c>
      <c r="I7" s="12">
        <f>IF(F7="","",H7-F7)</f>
        <v/>
      </c>
      <c r="J7" s="12">
        <f>H7-H6</f>
        <v/>
      </c>
      <c r="K7" s="15">
        <f>(D7-D6)/D6*100</f>
        <v/>
      </c>
      <c r="L7" s="15">
        <f>(B7-B6)/B6*100</f>
        <v/>
      </c>
      <c r="M7" s="16">
        <f>IF(AND(K7&lt;=por_sk,L7&gt;=por_zaim),"оба",IF(K7&lt;=por_sk,"СК",IF(L7&gt;=por_zaim,"Займ","")))</f>
        <v/>
      </c>
      <c r="N7" s="11" t="n">
        <v>0.01147588798</v>
      </c>
      <c r="O7" s="12">
        <f>N7*100</f>
        <v/>
      </c>
      <c r="P7" s="12">
        <f>O7-O6</f>
        <v/>
      </c>
      <c r="Q7" s="11" t="n">
        <v>-0.007801331225</v>
      </c>
      <c r="R7" s="12">
        <f>Q7*100</f>
        <v/>
      </c>
      <c r="S7" s="12">
        <f>R7-R6</f>
        <v/>
      </c>
      <c r="T7" s="14">
        <f>IF(OR(MID(A7,6,2)="02",MID(A7,6,2)="03"),1,0)</f>
        <v/>
      </c>
      <c r="U7" s="12">
        <f>IF(T7=0,P7,"")</f>
        <v/>
      </c>
      <c r="V7" s="12">
        <f>IF(T7=1,P7,"")</f>
        <v/>
      </c>
      <c r="W7" s="13" t="inlineStr">
        <is>
          <t>—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2">
        <f>IF(T7=0,S7,"")</f>
        <v/>
      </c>
      <c r="AB7" s="12">
        <f>IF(T7=1,S7,"")</f>
        <v/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</row>
    <row r="8">
      <c r="A8" s="9" t="inlineStr">
        <is>
          <t>2023-11-01</t>
        </is>
      </c>
      <c r="B8" s="10" t="n">
        <v>338817.1</v>
      </c>
      <c r="C8" s="10" t="n">
        <v>438451.715</v>
      </c>
      <c r="D8" s="10" t="n">
        <v>348167.431</v>
      </c>
      <c r="E8" s="11">
        <f>IF(C8="","",B8/C8)</f>
        <v/>
      </c>
      <c r="F8" s="12">
        <f>IF(E8="","",E8*100)</f>
        <v/>
      </c>
      <c r="G8" s="11">
        <f>B8/D8</f>
        <v/>
      </c>
      <c r="H8" s="12">
        <f>G8*100</f>
        <v/>
      </c>
      <c r="I8" s="12">
        <f>IF(F8="","",H8-F8)</f>
        <v/>
      </c>
      <c r="J8" s="12">
        <f>H8-H7</f>
        <v/>
      </c>
      <c r="K8" s="15">
        <f>(D8-D7)/D7*100</f>
        <v/>
      </c>
      <c r="L8" s="15">
        <f>(B8-B7)/B7*100</f>
        <v/>
      </c>
      <c r="M8" s="16">
        <f>IF(AND(K8&lt;=por_sk,L8&gt;=por_zaim),"оба",IF(K8&lt;=por_sk,"СК",IF(L8&gt;=por_zaim,"Займ","")))</f>
        <v/>
      </c>
      <c r="N8" s="11" t="n">
        <v>0.002161916772</v>
      </c>
      <c r="O8" s="12">
        <f>N8*100</f>
        <v/>
      </c>
      <c r="P8" s="12">
        <f>O8-O7</f>
        <v/>
      </c>
      <c r="Q8" s="11" t="n">
        <v>-0.01204133968</v>
      </c>
      <c r="R8" s="12">
        <f>Q8*100</f>
        <v/>
      </c>
      <c r="S8" s="12">
        <f>R8-R7</f>
        <v/>
      </c>
      <c r="T8" s="14">
        <f>IF(OR(MID(A8,6,2)="02",MID(A8,6,2)="03"),1,0)</f>
        <v/>
      </c>
      <c r="U8" s="12">
        <f>IF(T8=0,P8,"")</f>
        <v/>
      </c>
      <c r="V8" s="12">
        <f>IF(T8=1,P8,"")</f>
        <v/>
      </c>
      <c r="W8" s="13" t="inlineStr">
        <is>
          <t>—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2">
        <f>IF(T8=0,S8,"")</f>
        <v/>
      </c>
      <c r="AB8" s="12">
        <f>IF(T8=1,S8,"")</f>
        <v/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</row>
    <row r="9">
      <c r="A9" s="9" t="inlineStr">
        <is>
          <t>2023-12-01</t>
        </is>
      </c>
      <c r="B9" s="10" t="n">
        <v>343497.7</v>
      </c>
      <c r="C9" s="10" t="n">
        <v>443261.608</v>
      </c>
      <c r="D9" s="10" t="n">
        <v>353304.973</v>
      </c>
      <c r="E9" s="11">
        <f>IF(C9="","",B9/C9)</f>
        <v/>
      </c>
      <c r="F9" s="12">
        <f>IF(E9="","",E9*100)</f>
        <v/>
      </c>
      <c r="G9" s="11">
        <f>B9/D9</f>
        <v/>
      </c>
      <c r="H9" s="12">
        <f>G9*100</f>
        <v/>
      </c>
      <c r="I9" s="12">
        <f>IF(F9="","",H9-F9)</f>
        <v/>
      </c>
      <c r="J9" s="12">
        <f>H9-H8</f>
        <v/>
      </c>
      <c r="K9" s="15">
        <f>(D9-D8)/D8*100</f>
        <v/>
      </c>
      <c r="L9" s="15">
        <f>(B9-B8)/B8*100</f>
        <v/>
      </c>
      <c r="M9" s="16">
        <f>IF(AND(K9&lt;=por_sk,L9&gt;=por_zaim),"оба",IF(K9&lt;=por_sk,"СК",IF(L9&gt;=por_zaim,"Займ","")))</f>
        <v/>
      </c>
      <c r="N9" s="11" t="n">
        <v>-0.0007643165415</v>
      </c>
      <c r="O9" s="12">
        <f>N9*100</f>
        <v/>
      </c>
      <c r="P9" s="12">
        <f>O9-O8</f>
        <v/>
      </c>
      <c r="Q9" s="11" t="n">
        <v>-0.01072642329</v>
      </c>
      <c r="R9" s="12">
        <f>Q9*100</f>
        <v/>
      </c>
      <c r="S9" s="12">
        <f>R9-R8</f>
        <v/>
      </c>
      <c r="T9" s="14">
        <f>IF(OR(MID(A9,6,2)="02",MID(A9,6,2)="03"),1,0)</f>
        <v/>
      </c>
      <c r="U9" s="12">
        <f>IF(T9=0,P9,"")</f>
        <v/>
      </c>
      <c r="V9" s="12">
        <f>IF(T9=1,P9,"")</f>
        <v/>
      </c>
      <c r="W9" s="12">
        <f>O9-O5</f>
        <v/>
      </c>
      <c r="X9" s="14">
        <f>IF(SUM(T6:T9)&gt;0,1,0)</f>
        <v/>
      </c>
      <c r="Y9" s="12">
        <f>IF(X9=0,W9,"")</f>
        <v/>
      </c>
      <c r="Z9" s="12">
        <f>IF(X9=1,W9,"")</f>
        <v/>
      </c>
      <c r="AA9" s="12">
        <f>IF(T9=0,S9,"")</f>
        <v/>
      </c>
      <c r="AB9" s="12">
        <f>IF(T9=1,S9,"")</f>
        <v/>
      </c>
      <c r="AC9" s="12">
        <f>R9-R5</f>
        <v/>
      </c>
      <c r="AD9" s="12">
        <f>IF(X9=0,AC9,"")</f>
        <v/>
      </c>
      <c r="AE9" s="12">
        <f>IF(X9=1,AC9,"")</f>
        <v/>
      </c>
      <c r="AF9" s="12">
        <f>H9-H5</f>
        <v/>
      </c>
    </row>
    <row r="10">
      <c r="A10" s="9" t="inlineStr">
        <is>
          <t>2024-01-01</t>
        </is>
      </c>
      <c r="B10" s="10" t="n">
        <v>372019.3</v>
      </c>
      <c r="C10" s="10" t="n">
        <v>440898.148</v>
      </c>
      <c r="D10" s="10" t="n">
        <v>351291.897</v>
      </c>
      <c r="E10" s="11">
        <f>IF(C10="","",B10/C10)</f>
        <v/>
      </c>
      <c r="F10" s="12">
        <f>IF(E10="","",E10*100)</f>
        <v/>
      </c>
      <c r="G10" s="11">
        <f>B10/D10</f>
        <v/>
      </c>
      <c r="H10" s="12">
        <f>G10*100</f>
        <v/>
      </c>
      <c r="I10" s="12">
        <f>IF(F10="","",H10-F10)</f>
        <v/>
      </c>
      <c r="J10" s="12">
        <f>H10-H9</f>
        <v/>
      </c>
      <c r="K10" s="15">
        <f>(D10-D9)/D9*100</f>
        <v/>
      </c>
      <c r="L10" s="15">
        <f>(B10-B9)/B9*100</f>
        <v/>
      </c>
      <c r="M10" s="16">
        <f>IF(AND(K10&lt;=por_sk,L10&gt;=por_zaim),"оба",IF(K10&lt;=por_sk,"СК",IF(L10&gt;=por_zaim,"Займ","")))</f>
        <v/>
      </c>
      <c r="N10" s="11" t="n">
        <v>-0.01934343416</v>
      </c>
      <c r="O10" s="12">
        <f>N10*100</f>
        <v/>
      </c>
      <c r="P10" s="12">
        <f>O10-O9</f>
        <v/>
      </c>
      <c r="Q10" s="11" t="n">
        <v>-0.01082676031</v>
      </c>
      <c r="R10" s="12">
        <f>Q10*100</f>
        <v/>
      </c>
      <c r="S10" s="12">
        <f>R10-R9</f>
        <v/>
      </c>
      <c r="T10" s="14">
        <f>IF(OR(MID(A10,6,2)="02",MID(A10,6,2)="03"),1,0)</f>
        <v/>
      </c>
      <c r="U10" s="12">
        <f>IF(T10=0,P10,"")</f>
        <v/>
      </c>
      <c r="V10" s="12">
        <f>IF(T10=1,P10,"")</f>
        <v/>
      </c>
      <c r="W10" s="12">
        <f>O10-O6</f>
        <v/>
      </c>
      <c r="X10" s="14">
        <f>IF(SUM(T7:T10)&gt;0,1,0)</f>
        <v/>
      </c>
      <c r="Y10" s="12">
        <f>IF(X10=0,W10,"")</f>
        <v/>
      </c>
      <c r="Z10" s="12">
        <f>IF(X10=1,W10,"")</f>
        <v/>
      </c>
      <c r="AA10" s="12">
        <f>IF(T10=0,S10,"")</f>
        <v/>
      </c>
      <c r="AB10" s="12">
        <f>IF(T10=1,S10,"")</f>
        <v/>
      </c>
      <c r="AC10" s="12">
        <f>R10-R6</f>
        <v/>
      </c>
      <c r="AD10" s="12">
        <f>IF(X10=0,AC10,"")</f>
        <v/>
      </c>
      <c r="AE10" s="12">
        <f>IF(X10=1,AC10,"")</f>
        <v/>
      </c>
      <c r="AF10" s="12">
        <f>H10-H6</f>
        <v/>
      </c>
    </row>
    <row r="11">
      <c r="A11" s="9" t="inlineStr">
        <is>
          <t>2024-02-01</t>
        </is>
      </c>
      <c r="B11" s="10" t="n">
        <v>359821.6</v>
      </c>
      <c r="C11" s="10" t="n">
        <v>453740.463</v>
      </c>
      <c r="D11" s="10" t="n">
        <v>364498.163</v>
      </c>
      <c r="E11" s="11">
        <f>IF(C11="","",B11/C11)</f>
        <v/>
      </c>
      <c r="F11" s="12">
        <f>IF(E11="","",E11*100)</f>
        <v/>
      </c>
      <c r="G11" s="11">
        <f>B11/D11</f>
        <v/>
      </c>
      <c r="H11" s="12">
        <f>G11*100</f>
        <v/>
      </c>
      <c r="I11" s="12">
        <f>IF(F11="","",H11-F11)</f>
        <v/>
      </c>
      <c r="J11" s="12">
        <f>H11-H10</f>
        <v/>
      </c>
      <c r="K11" s="15">
        <f>(D11-D10)/D10*100</f>
        <v/>
      </c>
      <c r="L11" s="15">
        <f>(B11-B10)/B10*100</f>
        <v/>
      </c>
      <c r="M11" s="16">
        <f>IF(AND(K11&lt;=por_sk,L11&gt;=por_zaim),"оба",IF(K11&lt;=por_sk,"СК",IF(L11&gt;=por_zaim,"Займ","")))</f>
        <v/>
      </c>
      <c r="N11" s="11" t="n">
        <v>-0.07640116130000001</v>
      </c>
      <c r="O11" s="12">
        <f>N11*100</f>
        <v/>
      </c>
      <c r="P11" s="12">
        <f>O11-O10</f>
        <v/>
      </c>
      <c r="Q11" s="11" t="n">
        <v>-0.02131495621</v>
      </c>
      <c r="R11" s="12">
        <f>Q11*100</f>
        <v/>
      </c>
      <c r="S11" s="12">
        <f>R11-R10</f>
        <v/>
      </c>
      <c r="T11" s="14">
        <f>IF(OR(MID(A11,6,2)="02",MID(A11,6,2)="03"),1,0)</f>
        <v/>
      </c>
      <c r="U11" s="12">
        <f>IF(T11=0,P11,"")</f>
        <v/>
      </c>
      <c r="V11" s="12">
        <f>IF(T11=1,P11,"")</f>
        <v/>
      </c>
      <c r="W11" s="12">
        <f>O11-O7</f>
        <v/>
      </c>
      <c r="X11" s="14">
        <f>IF(SUM(T8:T11)&gt;0,1,0)</f>
        <v/>
      </c>
      <c r="Y11" s="12">
        <f>IF(X11=0,W11,"")</f>
        <v/>
      </c>
      <c r="Z11" s="12">
        <f>IF(X11=1,W11,"")</f>
        <v/>
      </c>
      <c r="AA11" s="12">
        <f>IF(T11=0,S11,"")</f>
        <v/>
      </c>
      <c r="AB11" s="12">
        <f>IF(T11=1,S11,"")</f>
        <v/>
      </c>
      <c r="AC11" s="12">
        <f>R11-R7</f>
        <v/>
      </c>
      <c r="AD11" s="12">
        <f>IF(X11=0,AC11,"")</f>
        <v/>
      </c>
      <c r="AE11" s="12">
        <f>IF(X11=1,AC11,"")</f>
        <v/>
      </c>
      <c r="AF11" s="12">
        <f>H11-H7</f>
        <v/>
      </c>
    </row>
    <row r="12">
      <c r="A12" s="9" t="inlineStr">
        <is>
          <t>2024-03-01</t>
        </is>
      </c>
      <c r="B12" s="10" t="n">
        <v>371215.4</v>
      </c>
      <c r="C12" s="10" t="n">
        <v>472963.535</v>
      </c>
      <c r="D12" s="10" t="n">
        <v>384072.879</v>
      </c>
      <c r="E12" s="11">
        <f>IF(C12="","",B12/C12)</f>
        <v/>
      </c>
      <c r="F12" s="12">
        <f>IF(E12="","",E12*100)</f>
        <v/>
      </c>
      <c r="G12" s="11">
        <f>B12/D12</f>
        <v/>
      </c>
      <c r="H12" s="12">
        <f>G12*100</f>
        <v/>
      </c>
      <c r="I12" s="12">
        <f>IF(F12="","",H12-F12)</f>
        <v/>
      </c>
      <c r="J12" s="12">
        <f>H12-H11</f>
        <v/>
      </c>
      <c r="K12" s="15">
        <f>(D12-D11)/D11*100</f>
        <v/>
      </c>
      <c r="L12" s="15">
        <f>(B12-B11)/B11*100</f>
        <v/>
      </c>
      <c r="M12" s="16">
        <f>IF(AND(K12&lt;=por_sk,L12&gt;=por_zaim),"оба",IF(K12&lt;=por_sk,"СК",IF(L12&gt;=por_zaim,"Займ","")))</f>
        <v/>
      </c>
      <c r="N12" s="11" t="n">
        <v>-0.04723198444</v>
      </c>
      <c r="O12" s="12">
        <f>N12*100</f>
        <v/>
      </c>
      <c r="P12" s="12">
        <f>O12-O11</f>
        <v/>
      </c>
      <c r="Q12" s="11" t="n">
        <v>-0.005127557633</v>
      </c>
      <c r="R12" s="12">
        <f>Q12*100</f>
        <v/>
      </c>
      <c r="S12" s="12">
        <f>R12-R11</f>
        <v/>
      </c>
      <c r="T12" s="14">
        <f>IF(OR(MID(A12,6,2)="02",MID(A12,6,2)="03"),1,0)</f>
        <v/>
      </c>
      <c r="U12" s="12">
        <f>IF(T12=0,P12,"")</f>
        <v/>
      </c>
      <c r="V12" s="12">
        <f>IF(T12=1,P12,"")</f>
        <v/>
      </c>
      <c r="W12" s="12">
        <f>O12-O8</f>
        <v/>
      </c>
      <c r="X12" s="14">
        <f>IF(SUM(T9:T12)&gt;0,1,0)</f>
        <v/>
      </c>
      <c r="Y12" s="12">
        <f>IF(X12=0,W12,"")</f>
        <v/>
      </c>
      <c r="Z12" s="12">
        <f>IF(X12=1,W12,"")</f>
        <v/>
      </c>
      <c r="AA12" s="12">
        <f>IF(T12=0,S12,"")</f>
        <v/>
      </c>
      <c r="AB12" s="12">
        <f>IF(T12=1,S12,"")</f>
        <v/>
      </c>
      <c r="AC12" s="12">
        <f>R12-R8</f>
        <v/>
      </c>
      <c r="AD12" s="12">
        <f>IF(X12=0,AC12,"")</f>
        <v/>
      </c>
      <c r="AE12" s="12">
        <f>IF(X12=1,AC12,"")</f>
        <v/>
      </c>
      <c r="AF12" s="12">
        <f>H12-H8</f>
        <v/>
      </c>
    </row>
    <row r="13">
      <c r="A13" s="9" t="inlineStr">
        <is>
          <t>2024-04-01</t>
        </is>
      </c>
      <c r="B13" s="10" t="n">
        <v>363473</v>
      </c>
      <c r="C13" s="10" t="n">
        <v>484711.53</v>
      </c>
      <c r="D13" s="10" t="n">
        <v>396208.88</v>
      </c>
      <c r="E13" s="11">
        <f>IF(C13="","",B13/C13)</f>
        <v/>
      </c>
      <c r="F13" s="12">
        <f>IF(E13="","",E13*100)</f>
        <v/>
      </c>
      <c r="G13" s="11">
        <f>B13/D13</f>
        <v/>
      </c>
      <c r="H13" s="12">
        <f>G13*100</f>
        <v/>
      </c>
      <c r="I13" s="12">
        <f>IF(F13="","",H13-F13)</f>
        <v/>
      </c>
      <c r="J13" s="12">
        <f>H13-H12</f>
        <v/>
      </c>
      <c r="K13" s="15">
        <f>(D13-D12)/D12*100</f>
        <v/>
      </c>
      <c r="L13" s="15">
        <f>(B13-B12)/B12*100</f>
        <v/>
      </c>
      <c r="M13" s="16">
        <f>IF(AND(K13&lt;=por_sk,L13&gt;=por_zaim),"оба",IF(K13&lt;=por_sk,"СК",IF(L13&gt;=por_zaim,"Займ","")))</f>
        <v/>
      </c>
      <c r="N13" s="11" t="n">
        <v>-0.03942940539</v>
      </c>
      <c r="O13" s="12">
        <f>N13*100</f>
        <v/>
      </c>
      <c r="P13" s="12">
        <f>O13-O12</f>
        <v/>
      </c>
      <c r="Q13" s="11" t="n">
        <v>-0.01074181497</v>
      </c>
      <c r="R13" s="12">
        <f>Q13*100</f>
        <v/>
      </c>
      <c r="S13" s="12">
        <f>R13-R12</f>
        <v/>
      </c>
      <c r="T13" s="14">
        <f>IF(OR(MID(A13,6,2)="02",MID(A13,6,2)="03"),1,0)</f>
        <v/>
      </c>
      <c r="U13" s="12">
        <f>IF(T13=0,P13,"")</f>
        <v/>
      </c>
      <c r="V13" s="12">
        <f>IF(T13=1,P13,"")</f>
        <v/>
      </c>
      <c r="W13" s="12">
        <f>O13-O9</f>
        <v/>
      </c>
      <c r="X13" s="14">
        <f>IF(SUM(T10:T13)&gt;0,1,0)</f>
        <v/>
      </c>
      <c r="Y13" s="12">
        <f>IF(X13=0,W13,"")</f>
        <v/>
      </c>
      <c r="Z13" s="12">
        <f>IF(X13=1,W13,"")</f>
        <v/>
      </c>
      <c r="AA13" s="12">
        <f>IF(T13=0,S13,"")</f>
        <v/>
      </c>
      <c r="AB13" s="12">
        <f>IF(T13=1,S13,"")</f>
        <v/>
      </c>
      <c r="AC13" s="12">
        <f>R13-R9</f>
        <v/>
      </c>
      <c r="AD13" s="12">
        <f>IF(X13=0,AC13,"")</f>
        <v/>
      </c>
      <c r="AE13" s="12">
        <f>IF(X13=1,AC13,"")</f>
        <v/>
      </c>
      <c r="AF13" s="12">
        <f>H13-H9</f>
        <v/>
      </c>
    </row>
    <row r="14">
      <c r="A14" s="9" t="inlineStr">
        <is>
          <t>2024-05-01</t>
        </is>
      </c>
      <c r="B14" s="10" t="n">
        <v>357665.7</v>
      </c>
      <c r="C14" s="10" t="n">
        <v>489303.468</v>
      </c>
      <c r="D14" s="10" t="n">
        <v>401188.386</v>
      </c>
      <c r="E14" s="11">
        <f>IF(C14="","",B14/C14)</f>
        <v/>
      </c>
      <c r="F14" s="12">
        <f>IF(E14="","",E14*100)</f>
        <v/>
      </c>
      <c r="G14" s="11">
        <f>B14/D14</f>
        <v/>
      </c>
      <c r="H14" s="12">
        <f>G14*100</f>
        <v/>
      </c>
      <c r="I14" s="12">
        <f>IF(F14="","",H14-F14)</f>
        <v/>
      </c>
      <c r="J14" s="12">
        <f>H14-H13</f>
        <v/>
      </c>
      <c r="K14" s="15">
        <f>(D14-D13)/D13*100</f>
        <v/>
      </c>
      <c r="L14" s="15">
        <f>(B14-B13)/B13*100</f>
        <v/>
      </c>
      <c r="M14" s="16">
        <f>IF(AND(K14&lt;=por_sk,L14&gt;=por_zaim),"оба",IF(K14&lt;=por_sk,"СК",IF(L14&gt;=por_zaim,"Займ","")))</f>
        <v/>
      </c>
      <c r="N14" s="11" t="n">
        <v>-0.03338889616</v>
      </c>
      <c r="O14" s="12">
        <f>N14*100</f>
        <v/>
      </c>
      <c r="P14" s="12">
        <f>O14-O13</f>
        <v/>
      </c>
      <c r="Q14" s="11" t="n">
        <v>-0.007195272051</v>
      </c>
      <c r="R14" s="12">
        <f>Q14*100</f>
        <v/>
      </c>
      <c r="S14" s="12">
        <f>R14-R13</f>
        <v/>
      </c>
      <c r="T14" s="14">
        <f>IF(OR(MID(A14,6,2)="02",MID(A14,6,2)="03"),1,0)</f>
        <v/>
      </c>
      <c r="U14" s="12">
        <f>IF(T14=0,P14,"")</f>
        <v/>
      </c>
      <c r="V14" s="12">
        <f>IF(T14=1,P14,"")</f>
        <v/>
      </c>
      <c r="W14" s="12">
        <f>O14-O10</f>
        <v/>
      </c>
      <c r="X14" s="14">
        <f>IF(SUM(T11:T14)&gt;0,1,0)</f>
        <v/>
      </c>
      <c r="Y14" s="12">
        <f>IF(X14=0,W14,"")</f>
        <v/>
      </c>
      <c r="Z14" s="12">
        <f>IF(X14=1,W14,"")</f>
        <v/>
      </c>
      <c r="AA14" s="12">
        <f>IF(T14=0,S14,"")</f>
        <v/>
      </c>
      <c r="AB14" s="12">
        <f>IF(T14=1,S14,"")</f>
        <v/>
      </c>
      <c r="AC14" s="12">
        <f>R14-R10</f>
        <v/>
      </c>
      <c r="AD14" s="12">
        <f>IF(X14=0,AC14,"")</f>
        <v/>
      </c>
      <c r="AE14" s="12">
        <f>IF(X14=1,AC14,"")</f>
        <v/>
      </c>
      <c r="AF14" s="12">
        <f>H14-H10</f>
        <v/>
      </c>
    </row>
    <row r="15">
      <c r="A15" s="9" t="inlineStr">
        <is>
          <t>2024-06-01</t>
        </is>
      </c>
      <c r="B15" s="10" t="n">
        <v>360756.5</v>
      </c>
      <c r="C15" s="10" t="n">
        <v>491481.953</v>
      </c>
      <c r="D15" s="10" t="n">
        <v>403780.012</v>
      </c>
      <c r="E15" s="11">
        <f>IF(C15="","",B15/C15)</f>
        <v/>
      </c>
      <c r="F15" s="12">
        <f>IF(E15="","",E15*100)</f>
        <v/>
      </c>
      <c r="G15" s="11">
        <f>B15/D15</f>
        <v/>
      </c>
      <c r="H15" s="12">
        <f>G15*100</f>
        <v/>
      </c>
      <c r="I15" s="12">
        <f>IF(F15="","",H15-F15)</f>
        <v/>
      </c>
      <c r="J15" s="12">
        <f>H15-H14</f>
        <v/>
      </c>
      <c r="K15" s="15">
        <f>(D15-D14)/D14*100</f>
        <v/>
      </c>
      <c r="L15" s="15">
        <f>(B15-B14)/B14*100</f>
        <v/>
      </c>
      <c r="M15" s="16">
        <f>IF(AND(K15&lt;=por_sk,L15&gt;=por_zaim),"оба",IF(K15&lt;=por_sk,"СК",IF(L15&gt;=por_zaim,"Займ","")))</f>
        <v/>
      </c>
      <c r="N15" s="11" t="n">
        <v>-0.02467543678</v>
      </c>
      <c r="O15" s="12">
        <f>N15*100</f>
        <v/>
      </c>
      <c r="P15" s="12">
        <f>O15-O14</f>
        <v/>
      </c>
      <c r="Q15" s="11" t="n">
        <v>-0.006528664751</v>
      </c>
      <c r="R15" s="12">
        <f>Q15*100</f>
        <v/>
      </c>
      <c r="S15" s="12">
        <f>R15-R14</f>
        <v/>
      </c>
      <c r="T15" s="14">
        <f>IF(OR(MID(A15,6,2)="02",MID(A15,6,2)="03"),1,0)</f>
        <v/>
      </c>
      <c r="U15" s="12">
        <f>IF(T15=0,P15,"")</f>
        <v/>
      </c>
      <c r="V15" s="12">
        <f>IF(T15=1,P15,"")</f>
        <v/>
      </c>
      <c r="W15" s="12">
        <f>O15-O11</f>
        <v/>
      </c>
      <c r="X15" s="14">
        <f>IF(SUM(T12:T15)&gt;0,1,0)</f>
        <v/>
      </c>
      <c r="Y15" s="12">
        <f>IF(X15=0,W15,"")</f>
        <v/>
      </c>
      <c r="Z15" s="12">
        <f>IF(X15=1,W15,"")</f>
        <v/>
      </c>
      <c r="AA15" s="12">
        <f>IF(T15=0,S15,"")</f>
        <v/>
      </c>
      <c r="AB15" s="12">
        <f>IF(T15=1,S15,"")</f>
        <v/>
      </c>
      <c r="AC15" s="12">
        <f>R15-R11</f>
        <v/>
      </c>
      <c r="AD15" s="12">
        <f>IF(X15=0,AC15,"")</f>
        <v/>
      </c>
      <c r="AE15" s="12">
        <f>IF(X15=1,AC15,"")</f>
        <v/>
      </c>
      <c r="AF15" s="12">
        <f>H15-H11</f>
        <v/>
      </c>
    </row>
    <row r="16">
      <c r="A16" s="9" t="inlineStr">
        <is>
          <t>2024-07-01</t>
        </is>
      </c>
      <c r="B16" s="10" t="n">
        <v>362413.9</v>
      </c>
      <c r="C16" s="10" t="n">
        <v>492537.194</v>
      </c>
      <c r="D16" s="10" t="n">
        <v>405247.486</v>
      </c>
      <c r="E16" s="11">
        <f>IF(C16="","",B16/C16)</f>
        <v/>
      </c>
      <c r="F16" s="12">
        <f>IF(E16="","",E16*100)</f>
        <v/>
      </c>
      <c r="G16" s="11">
        <f>B16/D16</f>
        <v/>
      </c>
      <c r="H16" s="12">
        <f>G16*100</f>
        <v/>
      </c>
      <c r="I16" s="12">
        <f>IF(F16="","",H16-F16)</f>
        <v/>
      </c>
      <c r="J16" s="12">
        <f>H16-H15</f>
        <v/>
      </c>
      <c r="K16" s="15">
        <f>(D16-D15)/D15*100</f>
        <v/>
      </c>
      <c r="L16" s="15">
        <f>(B16-B15)/B15*100</f>
        <v/>
      </c>
      <c r="M16" s="16">
        <f>IF(AND(K16&lt;=por_sk,L16&gt;=por_zaim),"оба",IF(K16&lt;=por_sk,"СК",IF(L16&gt;=por_zaim,"Займ","")))</f>
        <v/>
      </c>
      <c r="N16" s="11" t="n">
        <v>-0.02244619422</v>
      </c>
      <c r="O16" s="12">
        <f>N16*100</f>
        <v/>
      </c>
      <c r="P16" s="12">
        <f>O16-O15</f>
        <v/>
      </c>
      <c r="Q16" s="11" t="n">
        <v>-0.003885496881</v>
      </c>
      <c r="R16" s="12">
        <f>Q16*100</f>
        <v/>
      </c>
      <c r="S16" s="12">
        <f>R16-R15</f>
        <v/>
      </c>
      <c r="T16" s="14">
        <f>IF(OR(MID(A16,6,2)="02",MID(A16,6,2)="03"),1,0)</f>
        <v/>
      </c>
      <c r="U16" s="12">
        <f>IF(T16=0,P16,"")</f>
        <v/>
      </c>
      <c r="V16" s="12">
        <f>IF(T16=1,P16,"")</f>
        <v/>
      </c>
      <c r="W16" s="12">
        <f>O16-O12</f>
        <v/>
      </c>
      <c r="X16" s="14">
        <f>IF(SUM(T13:T16)&gt;0,1,0)</f>
        <v/>
      </c>
      <c r="Y16" s="12">
        <f>IF(X16=0,W16,"")</f>
        <v/>
      </c>
      <c r="Z16" s="12">
        <f>IF(X16=1,W16,"")</f>
        <v/>
      </c>
      <c r="AA16" s="12">
        <f>IF(T16=0,S16,"")</f>
        <v/>
      </c>
      <c r="AB16" s="12">
        <f>IF(T16=1,S16,"")</f>
        <v/>
      </c>
      <c r="AC16" s="12">
        <f>R16-R12</f>
        <v/>
      </c>
      <c r="AD16" s="12">
        <f>IF(X16=0,AC16,"")</f>
        <v/>
      </c>
      <c r="AE16" s="12">
        <f>IF(X16=1,AC16,"")</f>
        <v/>
      </c>
      <c r="AF16" s="12">
        <f>H16-H12</f>
        <v/>
      </c>
    </row>
    <row r="17">
      <c r="A17" s="9" t="inlineStr">
        <is>
          <t>2024-08-01</t>
        </is>
      </c>
      <c r="B17" s="10" t="n">
        <v>358163.4</v>
      </c>
      <c r="C17" s="10" t="n">
        <v>504710.465</v>
      </c>
      <c r="D17" s="10" t="n">
        <v>417859.74</v>
      </c>
      <c r="E17" s="11">
        <f>IF(C17="","",B17/C17)</f>
        <v/>
      </c>
      <c r="F17" s="12">
        <f>IF(E17="","",E17*100)</f>
        <v/>
      </c>
      <c r="G17" s="11">
        <f>B17/D17</f>
        <v/>
      </c>
      <c r="H17" s="12">
        <f>G17*100</f>
        <v/>
      </c>
      <c r="I17" s="12">
        <f>IF(F17="","",H17-F17)</f>
        <v/>
      </c>
      <c r="J17" s="12">
        <f>H17-H16</f>
        <v/>
      </c>
      <c r="K17" s="15">
        <f>(D17-D16)/D16*100</f>
        <v/>
      </c>
      <c r="L17" s="15">
        <f>(B17-B16)/B16*100</f>
        <v/>
      </c>
      <c r="M17" s="16">
        <f>IF(AND(K17&lt;=por_sk,L17&gt;=por_zaim),"оба",IF(K17&lt;=por_sk,"СК",IF(L17&gt;=por_zaim,"Займ","")))</f>
        <v/>
      </c>
      <c r="N17" s="11" t="n">
        <v>-0.02150985885</v>
      </c>
      <c r="O17" s="12">
        <f>N17*100</f>
        <v/>
      </c>
      <c r="P17" s="12">
        <f>O17-O16</f>
        <v/>
      </c>
      <c r="Q17" s="11" t="n">
        <v>-0.004445886419</v>
      </c>
      <c r="R17" s="12">
        <f>Q17*100</f>
        <v/>
      </c>
      <c r="S17" s="12">
        <f>R17-R16</f>
        <v/>
      </c>
      <c r="T17" s="14">
        <f>IF(OR(MID(A17,6,2)="02",MID(A17,6,2)="03"),1,0)</f>
        <v/>
      </c>
      <c r="U17" s="12">
        <f>IF(T17=0,P17,"")</f>
        <v/>
      </c>
      <c r="V17" s="12">
        <f>IF(T17=1,P17,"")</f>
        <v/>
      </c>
      <c r="W17" s="12">
        <f>O17-O13</f>
        <v/>
      </c>
      <c r="X17" s="14">
        <f>IF(SUM(T14:T17)&gt;0,1,0)</f>
        <v/>
      </c>
      <c r="Y17" s="12">
        <f>IF(X17=0,W17,"")</f>
        <v/>
      </c>
      <c r="Z17" s="12">
        <f>IF(X17=1,W17,"")</f>
        <v/>
      </c>
      <c r="AA17" s="12">
        <f>IF(T17=0,S17,"")</f>
        <v/>
      </c>
      <c r="AB17" s="12">
        <f>IF(T17=1,S17,"")</f>
        <v/>
      </c>
      <c r="AC17" s="12">
        <f>R17-R13</f>
        <v/>
      </c>
      <c r="AD17" s="12">
        <f>IF(X17=0,AC17,"")</f>
        <v/>
      </c>
      <c r="AE17" s="12">
        <f>IF(X17=1,AC17,"")</f>
        <v/>
      </c>
      <c r="AF17" s="12">
        <f>H17-H13</f>
        <v/>
      </c>
    </row>
    <row r="18">
      <c r="A18" s="9" t="inlineStr">
        <is>
          <t>2024-09-01</t>
        </is>
      </c>
      <c r="B18" s="10" t="n">
        <v>379875.3</v>
      </c>
      <c r="C18" s="10" t="n">
        <v>507597.081</v>
      </c>
      <c r="D18" s="10" t="n">
        <v>421198.748</v>
      </c>
      <c r="E18" s="11">
        <f>IF(C18="","",B18/C18)</f>
        <v/>
      </c>
      <c r="F18" s="12">
        <f>IF(E18="","",E18*100)</f>
        <v/>
      </c>
      <c r="G18" s="11">
        <f>B18/D18</f>
        <v/>
      </c>
      <c r="H18" s="12">
        <f>G18*100</f>
        <v/>
      </c>
      <c r="I18" s="12">
        <f>IF(F18="","",H18-F18)</f>
        <v/>
      </c>
      <c r="J18" s="12">
        <f>H18-H17</f>
        <v/>
      </c>
      <c r="K18" s="15">
        <f>(D18-D17)/D17*100</f>
        <v/>
      </c>
      <c r="L18" s="15">
        <f>(B18-B17)/B17*100</f>
        <v/>
      </c>
      <c r="M18" s="16">
        <f>IF(AND(K18&lt;=por_sk,L18&gt;=por_zaim),"оба",IF(K18&lt;=por_sk,"СК",IF(L18&gt;=por_zaim,"Займ","")))</f>
        <v/>
      </c>
      <c r="N18" s="11" t="n">
        <v>-0.02154768059</v>
      </c>
      <c r="O18" s="12">
        <f>N18*100</f>
        <v/>
      </c>
      <c r="P18" s="12">
        <f>O18-O17</f>
        <v/>
      </c>
      <c r="Q18" s="11" t="n">
        <v>-0.003033472516</v>
      </c>
      <c r="R18" s="12">
        <f>Q18*100</f>
        <v/>
      </c>
      <c r="S18" s="12">
        <f>R18-R17</f>
        <v/>
      </c>
      <c r="T18" s="14">
        <f>IF(OR(MID(A18,6,2)="02",MID(A18,6,2)="03"),1,0)</f>
        <v/>
      </c>
      <c r="U18" s="12">
        <f>IF(T18=0,P18,"")</f>
        <v/>
      </c>
      <c r="V18" s="12">
        <f>IF(T18=1,P18,"")</f>
        <v/>
      </c>
      <c r="W18" s="12">
        <f>O18-O14</f>
        <v/>
      </c>
      <c r="X18" s="14">
        <f>IF(SUM(T15:T18)&gt;0,1,0)</f>
        <v/>
      </c>
      <c r="Y18" s="12">
        <f>IF(X18=0,W18,"")</f>
        <v/>
      </c>
      <c r="Z18" s="12">
        <f>IF(X18=1,W18,"")</f>
        <v/>
      </c>
      <c r="AA18" s="12">
        <f>IF(T18=0,S18,"")</f>
        <v/>
      </c>
      <c r="AB18" s="12">
        <f>IF(T18=1,S18,"")</f>
        <v/>
      </c>
      <c r="AC18" s="12">
        <f>R18-R14</f>
        <v/>
      </c>
      <c r="AD18" s="12">
        <f>IF(X18=0,AC18,"")</f>
        <v/>
      </c>
      <c r="AE18" s="12">
        <f>IF(X18=1,AC18,"")</f>
        <v/>
      </c>
      <c r="AF18" s="12">
        <f>H18-H14</f>
        <v/>
      </c>
    </row>
    <row r="19">
      <c r="A19" s="9" t="inlineStr">
        <is>
          <t>2024-10-01</t>
        </is>
      </c>
      <c r="B19" s="10" t="n">
        <v>384443.9</v>
      </c>
      <c r="C19" s="10" t="n">
        <v>510558.266</v>
      </c>
      <c r="D19" s="10" t="n">
        <v>424610.677</v>
      </c>
      <c r="E19" s="11">
        <f>IF(C19="","",B19/C19)</f>
        <v/>
      </c>
      <c r="F19" s="12">
        <f>IF(E19="","",E19*100)</f>
        <v/>
      </c>
      <c r="G19" s="11">
        <f>B19/D19</f>
        <v/>
      </c>
      <c r="H19" s="12">
        <f>G19*100</f>
        <v/>
      </c>
      <c r="I19" s="12">
        <f>IF(F19="","",H19-F19)</f>
        <v/>
      </c>
      <c r="J19" s="12">
        <f>H19-H18</f>
        <v/>
      </c>
      <c r="K19" s="15">
        <f>(D19-D18)/D18*100</f>
        <v/>
      </c>
      <c r="L19" s="15">
        <f>(B19-B18)/B18*100</f>
        <v/>
      </c>
      <c r="M19" s="16">
        <f>IF(AND(K19&lt;=por_sk,L19&gt;=por_zaim),"оба",IF(K19&lt;=por_sk,"СК",IF(L19&gt;=por_zaim,"Займ","")))</f>
        <v/>
      </c>
      <c r="N19" s="11" t="n">
        <v>-0.01964265338</v>
      </c>
      <c r="O19" s="12">
        <f>N19*100</f>
        <v/>
      </c>
      <c r="P19" s="12">
        <f>O19-O18</f>
        <v/>
      </c>
      <c r="Q19" s="11" t="n">
        <v>-0.003726465017</v>
      </c>
      <c r="R19" s="12">
        <f>Q19*100</f>
        <v/>
      </c>
      <c r="S19" s="12">
        <f>R19-R18</f>
        <v/>
      </c>
      <c r="T19" s="14">
        <f>IF(OR(MID(A19,6,2)="02",MID(A19,6,2)="03"),1,0)</f>
        <v/>
      </c>
      <c r="U19" s="12">
        <f>IF(T19=0,P19,"")</f>
        <v/>
      </c>
      <c r="V19" s="12">
        <f>IF(T19=1,P19,"")</f>
        <v/>
      </c>
      <c r="W19" s="12">
        <f>O19-O15</f>
        <v/>
      </c>
      <c r="X19" s="14">
        <f>IF(SUM(T16:T19)&gt;0,1,0)</f>
        <v/>
      </c>
      <c r="Y19" s="12">
        <f>IF(X19=0,W19,"")</f>
        <v/>
      </c>
      <c r="Z19" s="12">
        <f>IF(X19=1,W19,"")</f>
        <v/>
      </c>
      <c r="AA19" s="12">
        <f>IF(T19=0,S19,"")</f>
        <v/>
      </c>
      <c r="AB19" s="12">
        <f>IF(T19=1,S19,"")</f>
        <v/>
      </c>
      <c r="AC19" s="12">
        <f>R19-R15</f>
        <v/>
      </c>
      <c r="AD19" s="12">
        <f>IF(X19=0,AC19,"")</f>
        <v/>
      </c>
      <c r="AE19" s="12">
        <f>IF(X19=1,AC19,"")</f>
        <v/>
      </c>
      <c r="AF19" s="12">
        <f>H19-H15</f>
        <v/>
      </c>
    </row>
    <row r="20">
      <c r="A20" s="9" t="inlineStr">
        <is>
          <t>2024-11-01</t>
        </is>
      </c>
      <c r="B20" s="10" t="n">
        <v>376972.2</v>
      </c>
      <c r="C20" s="10" t="n">
        <v>525225.334</v>
      </c>
      <c r="D20" s="10" t="n">
        <v>439721.605</v>
      </c>
      <c r="E20" s="11">
        <f>IF(C20="","",B20/C20)</f>
        <v/>
      </c>
      <c r="F20" s="12">
        <f>IF(E20="","",E20*100)</f>
        <v/>
      </c>
      <c r="G20" s="11">
        <f>B20/D20</f>
        <v/>
      </c>
      <c r="H20" s="12">
        <f>G20*100</f>
        <v/>
      </c>
      <c r="I20" s="12">
        <f>IF(F20="","",H20-F20)</f>
        <v/>
      </c>
      <c r="J20" s="12">
        <f>H20-H19</f>
        <v/>
      </c>
      <c r="K20" s="15">
        <f>(D20-D19)/D19*100</f>
        <v/>
      </c>
      <c r="L20" s="15">
        <f>(B20-B19)/B19*100</f>
        <v/>
      </c>
      <c r="M20" s="16">
        <f>IF(AND(K20&lt;=por_sk,L20&gt;=por_zaim),"оба",IF(K20&lt;=por_sk,"СК",IF(L20&gt;=por_zaim,"Займ","")))</f>
        <v/>
      </c>
      <c r="N20" s="11" t="n">
        <v>-0.01965703002</v>
      </c>
      <c r="O20" s="12">
        <f>N20*100</f>
        <v/>
      </c>
      <c r="P20" s="12">
        <f>O20-O19</f>
        <v/>
      </c>
      <c r="Q20" s="11" t="n">
        <v>-0.008698807542</v>
      </c>
      <c r="R20" s="12">
        <f>Q20*100</f>
        <v/>
      </c>
      <c r="S20" s="12">
        <f>R20-R19</f>
        <v/>
      </c>
      <c r="T20" s="14">
        <f>IF(OR(MID(A20,6,2)="02",MID(A20,6,2)="03"),1,0)</f>
        <v/>
      </c>
      <c r="U20" s="12">
        <f>IF(T20=0,P20,"")</f>
        <v/>
      </c>
      <c r="V20" s="12">
        <f>IF(T20=1,P20,"")</f>
        <v/>
      </c>
      <c r="W20" s="12">
        <f>O20-O16</f>
        <v/>
      </c>
      <c r="X20" s="14">
        <f>IF(SUM(T17:T20)&gt;0,1,0)</f>
        <v/>
      </c>
      <c r="Y20" s="12">
        <f>IF(X20=0,W20,"")</f>
        <v/>
      </c>
      <c r="Z20" s="12">
        <f>IF(X20=1,W20,"")</f>
        <v/>
      </c>
      <c r="AA20" s="12">
        <f>IF(T20=0,S20,"")</f>
        <v/>
      </c>
      <c r="AB20" s="12">
        <f>IF(T20=1,S20,"")</f>
        <v/>
      </c>
      <c r="AC20" s="12">
        <f>R20-R16</f>
        <v/>
      </c>
      <c r="AD20" s="12">
        <f>IF(X20=0,AC20,"")</f>
        <v/>
      </c>
      <c r="AE20" s="12">
        <f>IF(X20=1,AC20,"")</f>
        <v/>
      </c>
      <c r="AF20" s="12">
        <f>H20-H16</f>
        <v/>
      </c>
    </row>
    <row r="21">
      <c r="A21" s="9" t="inlineStr">
        <is>
          <t>2024-12-01</t>
        </is>
      </c>
      <c r="B21" s="10" t="n">
        <v>382966.5</v>
      </c>
      <c r="C21" s="10" t="n">
        <v>529015.162</v>
      </c>
      <c r="D21" s="10" t="n">
        <v>443905.946</v>
      </c>
      <c r="E21" s="11">
        <f>IF(C21="","",B21/C21)</f>
        <v/>
      </c>
      <c r="F21" s="12">
        <f>IF(E21="","",E21*100)</f>
        <v/>
      </c>
      <c r="G21" s="11">
        <f>B21/D21</f>
        <v/>
      </c>
      <c r="H21" s="12">
        <f>G21*100</f>
        <v/>
      </c>
      <c r="I21" s="12">
        <f>IF(F21="","",H21-F21)</f>
        <v/>
      </c>
      <c r="J21" s="12">
        <f>H21-H20</f>
        <v/>
      </c>
      <c r="K21" s="15">
        <f>(D21-D20)/D20*100</f>
        <v/>
      </c>
      <c r="L21" s="15">
        <f>(B21-B20)/B20*100</f>
        <v/>
      </c>
      <c r="M21" s="16">
        <f>IF(AND(K21&lt;=por_sk,L21&gt;=por_zaim),"оба",IF(K21&lt;=por_sk,"СК",IF(L21&gt;=por_zaim,"Займ","")))</f>
        <v/>
      </c>
      <c r="N21" s="11" t="n">
        <v>-0.0150945606</v>
      </c>
      <c r="O21" s="12">
        <f>N21*100</f>
        <v/>
      </c>
      <c r="P21" s="12">
        <f>O21-O20</f>
        <v/>
      </c>
      <c r="Q21" s="11" t="n">
        <v>-0.005250378502</v>
      </c>
      <c r="R21" s="12">
        <f>Q21*100</f>
        <v/>
      </c>
      <c r="S21" s="12">
        <f>R21-R20</f>
        <v/>
      </c>
      <c r="T21" s="14">
        <f>IF(OR(MID(A21,6,2)="02",MID(A21,6,2)="03"),1,0)</f>
        <v/>
      </c>
      <c r="U21" s="12">
        <f>IF(T21=0,P21,"")</f>
        <v/>
      </c>
      <c r="V21" s="12">
        <f>IF(T21=1,P21,"")</f>
        <v/>
      </c>
      <c r="W21" s="12">
        <f>O21-O17</f>
        <v/>
      </c>
      <c r="X21" s="14">
        <f>IF(SUM(T18:T21)&gt;0,1,0)</f>
        <v/>
      </c>
      <c r="Y21" s="12">
        <f>IF(X21=0,W21,"")</f>
        <v/>
      </c>
      <c r="Z21" s="12">
        <f>IF(X21=1,W21,"")</f>
        <v/>
      </c>
      <c r="AA21" s="12">
        <f>IF(T21=0,S21,"")</f>
        <v/>
      </c>
      <c r="AB21" s="12">
        <f>IF(T21=1,S21,"")</f>
        <v/>
      </c>
      <c r="AC21" s="12">
        <f>R21-R17</f>
        <v/>
      </c>
      <c r="AD21" s="12">
        <f>IF(X21=0,AC21,"")</f>
        <v/>
      </c>
      <c r="AE21" s="12">
        <f>IF(X21=1,AC21,"")</f>
        <v/>
      </c>
      <c r="AF21" s="12">
        <f>H21-H17</f>
        <v/>
      </c>
    </row>
    <row r="22">
      <c r="A22" s="9" t="inlineStr">
        <is>
          <t>2025-01-01</t>
        </is>
      </c>
      <c r="B22" s="10" t="n">
        <v>378199.4</v>
      </c>
      <c r="C22" s="10" t="n">
        <v>545923.954</v>
      </c>
      <c r="D22" s="10" t="n">
        <v>461235.157</v>
      </c>
      <c r="E22" s="11">
        <f>IF(C22="","",B22/C22)</f>
        <v/>
      </c>
      <c r="F22" s="12">
        <f>IF(E22="","",E22*100)</f>
        <v/>
      </c>
      <c r="G22" s="11">
        <f>B22/D22</f>
        <v/>
      </c>
      <c r="H22" s="12">
        <f>G22*100</f>
        <v/>
      </c>
      <c r="I22" s="12">
        <f>IF(F22="","",H22-F22)</f>
        <v/>
      </c>
      <c r="J22" s="12">
        <f>H22-H21</f>
        <v/>
      </c>
      <c r="K22" s="15">
        <f>(D22-D21)/D21*100</f>
        <v/>
      </c>
      <c r="L22" s="15">
        <f>(B22-B21)/B21*100</f>
        <v/>
      </c>
      <c r="M22" s="16">
        <f>IF(AND(K22&lt;=por_sk,L22&gt;=por_zaim),"оба",IF(K22&lt;=por_sk,"СК",IF(L22&gt;=por_zaim,"Займ","")))</f>
        <v/>
      </c>
      <c r="N22" s="11" t="n">
        <v>-0.01772711736</v>
      </c>
      <c r="O22" s="12">
        <f>N22*100</f>
        <v/>
      </c>
      <c r="P22" s="12">
        <f>O22-O21</f>
        <v/>
      </c>
      <c r="Q22" s="11" t="n">
        <v>-0.006975086918</v>
      </c>
      <c r="R22" s="12">
        <f>Q22*100</f>
        <v/>
      </c>
      <c r="S22" s="12">
        <f>R22-R21</f>
        <v/>
      </c>
      <c r="T22" s="14">
        <f>IF(OR(MID(A22,6,2)="02",MID(A22,6,2)="03"),1,0)</f>
        <v/>
      </c>
      <c r="U22" s="12">
        <f>IF(T22=0,P22,"")</f>
        <v/>
      </c>
      <c r="V22" s="12">
        <f>IF(T22=1,P22,"")</f>
        <v/>
      </c>
      <c r="W22" s="12">
        <f>O22-O18</f>
        <v/>
      </c>
      <c r="X22" s="14">
        <f>IF(SUM(T19:T22)&gt;0,1,0)</f>
        <v/>
      </c>
      <c r="Y22" s="12">
        <f>IF(X22=0,W22,"")</f>
        <v/>
      </c>
      <c r="Z22" s="12">
        <f>IF(X22=1,W22,"")</f>
        <v/>
      </c>
      <c r="AA22" s="12">
        <f>IF(T22=0,S22,"")</f>
        <v/>
      </c>
      <c r="AB22" s="12">
        <f>IF(T22=1,S22,"")</f>
        <v/>
      </c>
      <c r="AC22" s="12">
        <f>R22-R18</f>
        <v/>
      </c>
      <c r="AD22" s="12">
        <f>IF(X22=0,AC22,"")</f>
        <v/>
      </c>
      <c r="AE22" s="12">
        <f>IF(X22=1,AC22,"")</f>
        <v/>
      </c>
      <c r="AF22" s="12">
        <f>H22-H18</f>
        <v/>
      </c>
    </row>
    <row r="23">
      <c r="A23" s="9" t="inlineStr">
        <is>
          <t>2025-02-01</t>
        </is>
      </c>
      <c r="B23" s="10" t="n">
        <v>370820.7</v>
      </c>
      <c r="C23" s="10" t="n">
        <v>547253.772</v>
      </c>
      <c r="D23" s="10" t="n">
        <v>462997.148</v>
      </c>
      <c r="E23" s="11">
        <f>IF(C23="","",B23/C23)</f>
        <v/>
      </c>
      <c r="F23" s="12">
        <f>IF(E23="","",E23*100)</f>
        <v/>
      </c>
      <c r="G23" s="11">
        <f>B23/D23</f>
        <v/>
      </c>
      <c r="H23" s="12">
        <f>G23*100</f>
        <v/>
      </c>
      <c r="I23" s="12">
        <f>IF(F23="","",H23-F23)</f>
        <v/>
      </c>
      <c r="J23" s="12">
        <f>H23-H22</f>
        <v/>
      </c>
      <c r="K23" s="15">
        <f>(D23-D22)/D22*100</f>
        <v/>
      </c>
      <c r="L23" s="15">
        <f>(B23-B22)/B22*100</f>
        <v/>
      </c>
      <c r="M23" s="16">
        <f>IF(AND(K23&lt;=por_sk,L23&gt;=por_zaim),"оба",IF(K23&lt;=por_sk,"СК",IF(L23&gt;=por_zaim,"Займ","")))</f>
        <v/>
      </c>
      <c r="N23" s="11" t="n">
        <v>-0.004185664846</v>
      </c>
      <c r="O23" s="12">
        <f>N23*100</f>
        <v/>
      </c>
      <c r="P23" s="12">
        <f>O23-O22</f>
        <v/>
      </c>
      <c r="Q23" s="11" t="n">
        <v>-0.009348784968</v>
      </c>
      <c r="R23" s="12">
        <f>Q23*100</f>
        <v/>
      </c>
      <c r="S23" s="12">
        <f>R23-R22</f>
        <v/>
      </c>
      <c r="T23" s="14">
        <f>IF(OR(MID(A23,6,2)="02",MID(A23,6,2)="03"),1,0)</f>
        <v/>
      </c>
      <c r="U23" s="12">
        <f>IF(T23=0,P23,"")</f>
        <v/>
      </c>
      <c r="V23" s="12">
        <f>IF(T23=1,P23,"")</f>
        <v/>
      </c>
      <c r="W23" s="12">
        <f>O23-O19</f>
        <v/>
      </c>
      <c r="X23" s="14">
        <f>IF(SUM(T20:T23)&gt;0,1,0)</f>
        <v/>
      </c>
      <c r="Y23" s="12">
        <f>IF(X23=0,W23,"")</f>
        <v/>
      </c>
      <c r="Z23" s="12">
        <f>IF(X23=1,W23,"")</f>
        <v/>
      </c>
      <c r="AA23" s="12">
        <f>IF(T23=0,S23,"")</f>
        <v/>
      </c>
      <c r="AB23" s="12">
        <f>IF(T23=1,S23,"")</f>
        <v/>
      </c>
      <c r="AC23" s="12">
        <f>R23-R19</f>
        <v/>
      </c>
      <c r="AD23" s="12">
        <f>IF(X23=0,AC23,"")</f>
        <v/>
      </c>
      <c r="AE23" s="12">
        <f>IF(X23=1,AC23,"")</f>
        <v/>
      </c>
      <c r="AF23" s="12">
        <f>H23-H19</f>
        <v/>
      </c>
    </row>
    <row r="24">
      <c r="A24" s="9" t="inlineStr">
        <is>
          <t>2025-03-01</t>
        </is>
      </c>
      <c r="B24" s="10" t="n">
        <v>367097.44</v>
      </c>
      <c r="C24" s="10" t="n">
        <v>550880.598</v>
      </c>
      <c r="D24" s="10" t="n">
        <v>467025.778</v>
      </c>
      <c r="E24" s="11">
        <f>IF(C24="","",B24/C24)</f>
        <v/>
      </c>
      <c r="F24" s="12">
        <f>IF(E24="","",E24*100)</f>
        <v/>
      </c>
      <c r="G24" s="11">
        <f>B24/D24</f>
        <v/>
      </c>
      <c r="H24" s="12">
        <f>G24*100</f>
        <v/>
      </c>
      <c r="I24" s="12">
        <f>IF(F24="","",H24-F24)</f>
        <v/>
      </c>
      <c r="J24" s="12">
        <f>H24-H23</f>
        <v/>
      </c>
      <c r="K24" s="15">
        <f>(D24-D23)/D23*100</f>
        <v/>
      </c>
      <c r="L24" s="15">
        <f>(B24-B23)/B23*100</f>
        <v/>
      </c>
      <c r="M24" s="16">
        <f>IF(AND(K24&lt;=por_sk,L24&gt;=por_zaim),"оба",IF(K24&lt;=por_sk,"СК",IF(L24&gt;=por_zaim,"Займ","")))</f>
        <v/>
      </c>
      <c r="N24" s="11" t="n">
        <v>-0.006042909793</v>
      </c>
      <c r="O24" s="12">
        <f>N24*100</f>
        <v/>
      </c>
      <c r="P24" s="12">
        <f>O24-O23</f>
        <v/>
      </c>
      <c r="Q24" s="11" t="n">
        <v>-0.03407189028</v>
      </c>
      <c r="R24" s="12">
        <f>Q24*100</f>
        <v/>
      </c>
      <c r="S24" s="12">
        <f>R24-R23</f>
        <v/>
      </c>
      <c r="T24" s="14">
        <f>IF(OR(MID(A24,6,2)="02",MID(A24,6,2)="03"),1,0)</f>
        <v/>
      </c>
      <c r="U24" s="12">
        <f>IF(T24=0,P24,"")</f>
        <v/>
      </c>
      <c r="V24" s="12">
        <f>IF(T24=1,P24,"")</f>
        <v/>
      </c>
      <c r="W24" s="12">
        <f>O24-O20</f>
        <v/>
      </c>
      <c r="X24" s="14">
        <f>IF(SUM(T21:T24)&gt;0,1,0)</f>
        <v/>
      </c>
      <c r="Y24" s="12">
        <f>IF(X24=0,W24,"")</f>
        <v/>
      </c>
      <c r="Z24" s="12">
        <f>IF(X24=1,W24,"")</f>
        <v/>
      </c>
      <c r="AA24" s="12">
        <f>IF(T24=0,S24,"")</f>
        <v/>
      </c>
      <c r="AB24" s="12">
        <f>IF(T24=1,S24,"")</f>
        <v/>
      </c>
      <c r="AC24" s="12">
        <f>R24-R20</f>
        <v/>
      </c>
      <c r="AD24" s="12">
        <f>IF(X24=0,AC24,"")</f>
        <v/>
      </c>
      <c r="AE24" s="12">
        <f>IF(X24=1,AC24,"")</f>
        <v/>
      </c>
      <c r="AF24" s="12">
        <f>H24-H20</f>
        <v/>
      </c>
    </row>
    <row r="25">
      <c r="A25" s="9" t="inlineStr">
        <is>
          <t>2025-04-01</t>
        </is>
      </c>
      <c r="B25" s="10" t="n">
        <v>395318.8</v>
      </c>
      <c r="C25" s="10" t="n">
        <v>535450.627</v>
      </c>
      <c r="D25" s="10" t="n">
        <v>452053.517</v>
      </c>
      <c r="E25" s="11">
        <f>IF(C25="","",B25/C25)</f>
        <v/>
      </c>
      <c r="F25" s="12">
        <f>IF(E25="","",E25*100)</f>
        <v/>
      </c>
      <c r="G25" s="11">
        <f>B25/D25</f>
        <v/>
      </c>
      <c r="H25" s="12">
        <f>G25*100</f>
        <v/>
      </c>
      <c r="I25" s="12">
        <f>IF(F25="","",H25-F25)</f>
        <v/>
      </c>
      <c r="J25" s="12">
        <f>H25-H24</f>
        <v/>
      </c>
      <c r="K25" s="15">
        <f>(D25-D24)/D24*100</f>
        <v/>
      </c>
      <c r="L25" s="15">
        <f>(B25-B24)/B24*100</f>
        <v/>
      </c>
      <c r="M25" s="16">
        <f>IF(AND(K25&lt;=por_sk,L25&gt;=por_zaim),"оба",IF(K25&lt;=por_sk,"СК",IF(L25&gt;=por_zaim,"Займ","")))</f>
        <v/>
      </c>
      <c r="N25" s="11" t="n">
        <v>0.001173028566</v>
      </c>
      <c r="O25" s="12">
        <f>N25*100</f>
        <v/>
      </c>
      <c r="P25" s="12">
        <f>O25-O24</f>
        <v/>
      </c>
      <c r="Q25" s="11" t="n">
        <v>-0.02567947784</v>
      </c>
      <c r="R25" s="12">
        <f>Q25*100</f>
        <v/>
      </c>
      <c r="S25" s="12">
        <f>R25-R24</f>
        <v/>
      </c>
      <c r="T25" s="14">
        <f>IF(OR(MID(A25,6,2)="02",MID(A25,6,2)="03"),1,0)</f>
        <v/>
      </c>
      <c r="U25" s="12">
        <f>IF(T25=0,P25,"")</f>
        <v/>
      </c>
      <c r="V25" s="12">
        <f>IF(T25=1,P25,"")</f>
        <v/>
      </c>
      <c r="W25" s="12">
        <f>O25-O21</f>
        <v/>
      </c>
      <c r="X25" s="14">
        <f>IF(SUM(T22:T25)&gt;0,1,0)</f>
        <v/>
      </c>
      <c r="Y25" s="12">
        <f>IF(X25=0,W25,"")</f>
        <v/>
      </c>
      <c r="Z25" s="12">
        <f>IF(X25=1,W25,"")</f>
        <v/>
      </c>
      <c r="AA25" s="12">
        <f>IF(T25=0,S25,"")</f>
        <v/>
      </c>
      <c r="AB25" s="12">
        <f>IF(T25=1,S25,"")</f>
        <v/>
      </c>
      <c r="AC25" s="12">
        <f>R25-R21</f>
        <v/>
      </c>
      <c r="AD25" s="12">
        <f>IF(X25=0,AC25,"")</f>
        <v/>
      </c>
      <c r="AE25" s="12">
        <f>IF(X25=1,AC25,"")</f>
        <v/>
      </c>
      <c r="AF25" s="12">
        <f>H25-H21</f>
        <v/>
      </c>
    </row>
    <row r="26">
      <c r="A26" s="9" t="inlineStr">
        <is>
          <t>2025-05-01</t>
        </is>
      </c>
      <c r="B26" s="10" t="n">
        <v>413164.5</v>
      </c>
      <c r="C26" s="10" t="n">
        <v>539662.3540000001</v>
      </c>
      <c r="D26" s="10" t="n">
        <v>456721.225</v>
      </c>
      <c r="E26" s="11">
        <f>IF(C26="","",B26/C26)</f>
        <v/>
      </c>
      <c r="F26" s="12">
        <f>IF(E26="","",E26*100)</f>
        <v/>
      </c>
      <c r="G26" s="11">
        <f>B26/D26</f>
        <v/>
      </c>
      <c r="H26" s="12">
        <f>G26*100</f>
        <v/>
      </c>
      <c r="I26" s="12">
        <f>IF(F26="","",H26-F26)</f>
        <v/>
      </c>
      <c r="J26" s="12">
        <f>H26-H25</f>
        <v/>
      </c>
      <c r="K26" s="15">
        <f>(D26-D25)/D25*100</f>
        <v/>
      </c>
      <c r="L26" s="15">
        <f>(B26-B25)/B25*100</f>
        <v/>
      </c>
      <c r="M26" s="16">
        <f>IF(AND(K26&lt;=por_sk,L26&gt;=por_zaim),"оба",IF(K26&lt;=por_sk,"СК",IF(L26&gt;=por_zaim,"Займ","")))</f>
        <v/>
      </c>
      <c r="N26" s="11" t="n">
        <v>0.0007036193667</v>
      </c>
      <c r="O26" s="12">
        <f>N26*100</f>
        <v/>
      </c>
      <c r="P26" s="12">
        <f>O26-O25</f>
        <v/>
      </c>
      <c r="Q26" s="11" t="n">
        <v>-0.02621518324</v>
      </c>
      <c r="R26" s="12">
        <f>Q26*100</f>
        <v/>
      </c>
      <c r="S26" s="12">
        <f>R26-R25</f>
        <v/>
      </c>
      <c r="T26" s="14">
        <f>IF(OR(MID(A26,6,2)="02",MID(A26,6,2)="03"),1,0)</f>
        <v/>
      </c>
      <c r="U26" s="12">
        <f>IF(T26=0,P26,"")</f>
        <v/>
      </c>
      <c r="V26" s="12">
        <f>IF(T26=1,P26,"")</f>
        <v/>
      </c>
      <c r="W26" s="12">
        <f>O26-O22</f>
        <v/>
      </c>
      <c r="X26" s="14">
        <f>IF(SUM(T23:T26)&gt;0,1,0)</f>
        <v/>
      </c>
      <c r="Y26" s="12">
        <f>IF(X26=0,W26,"")</f>
        <v/>
      </c>
      <c r="Z26" s="12">
        <f>IF(X26=1,W26,"")</f>
        <v/>
      </c>
      <c r="AA26" s="12">
        <f>IF(T26=0,S26,"")</f>
        <v/>
      </c>
      <c r="AB26" s="12">
        <f>IF(T26=1,S26,"")</f>
        <v/>
      </c>
      <c r="AC26" s="12">
        <f>R26-R22</f>
        <v/>
      </c>
      <c r="AD26" s="12">
        <f>IF(X26=0,AC26,"")</f>
        <v/>
      </c>
      <c r="AE26" s="12">
        <f>IF(X26=1,AC26,"")</f>
        <v/>
      </c>
      <c r="AF26" s="12">
        <f>H26-H22</f>
        <v/>
      </c>
    </row>
    <row r="27">
      <c r="A27" s="9" t="inlineStr">
        <is>
          <t>2025-06-01</t>
        </is>
      </c>
      <c r="B27" s="10" t="n">
        <v>409495.1</v>
      </c>
      <c r="C27" s="10" t="n">
        <v>544012.9939999999</v>
      </c>
      <c r="D27" s="10" t="n">
        <v>461556.705</v>
      </c>
      <c r="E27" s="11">
        <f>IF(C27="","",B27/C27)</f>
        <v/>
      </c>
      <c r="F27" s="12">
        <f>IF(E27="","",E27*100)</f>
        <v/>
      </c>
      <c r="G27" s="11">
        <f>B27/D27</f>
        <v/>
      </c>
      <c r="H27" s="12">
        <f>G27*100</f>
        <v/>
      </c>
      <c r="I27" s="12">
        <f>IF(F27="","",H27-F27)</f>
        <v/>
      </c>
      <c r="J27" s="12">
        <f>H27-H26</f>
        <v/>
      </c>
      <c r="K27" s="15">
        <f>(D27-D26)/D26*100</f>
        <v/>
      </c>
      <c r="L27" s="15">
        <f>(B27-B26)/B26*100</f>
        <v/>
      </c>
      <c r="M27" s="16">
        <f>IF(AND(K27&lt;=por_sk,L27&gt;=por_zaim),"оба",IF(K27&lt;=por_sk,"СК",IF(L27&gt;=por_zaim,"Займ","")))</f>
        <v/>
      </c>
      <c r="N27" s="11" t="n">
        <v>-0.01045247433</v>
      </c>
      <c r="O27" s="12">
        <f>N27*100</f>
        <v/>
      </c>
      <c r="P27" s="12">
        <f>O27-O26</f>
        <v/>
      </c>
      <c r="Q27" s="11" t="n">
        <v>-0.02516064017</v>
      </c>
      <c r="R27" s="12">
        <f>Q27*100</f>
        <v/>
      </c>
      <c r="S27" s="12">
        <f>R27-R26</f>
        <v/>
      </c>
      <c r="T27" s="14">
        <f>IF(OR(MID(A27,6,2)="02",MID(A27,6,2)="03"),1,0)</f>
        <v/>
      </c>
      <c r="U27" s="12">
        <f>IF(T27=0,P27,"")</f>
        <v/>
      </c>
      <c r="V27" s="12">
        <f>IF(T27=1,P27,"")</f>
        <v/>
      </c>
      <c r="W27" s="12">
        <f>O27-O23</f>
        <v/>
      </c>
      <c r="X27" s="14">
        <f>IF(SUM(T24:T27)&gt;0,1,0)</f>
        <v/>
      </c>
      <c r="Y27" s="12">
        <f>IF(X27=0,W27,"")</f>
        <v/>
      </c>
      <c r="Z27" s="12">
        <f>IF(X27=1,W27,"")</f>
        <v/>
      </c>
      <c r="AA27" s="12">
        <f>IF(T27=0,S27,"")</f>
        <v/>
      </c>
      <c r="AB27" s="12">
        <f>IF(T27=1,S27,"")</f>
        <v/>
      </c>
      <c r="AC27" s="12">
        <f>R27-R23</f>
        <v/>
      </c>
      <c r="AD27" s="12">
        <f>IF(X27=0,AC27,"")</f>
        <v/>
      </c>
      <c r="AE27" s="12">
        <f>IF(X27=1,AC27,"")</f>
        <v/>
      </c>
      <c r="AF27" s="12">
        <f>H27-H23</f>
        <v/>
      </c>
    </row>
    <row r="28">
      <c r="A28" s="9" t="inlineStr">
        <is>
          <t>2025-07-01</t>
        </is>
      </c>
      <c r="B28" s="10" t="n">
        <v>421189.4</v>
      </c>
      <c r="C28" s="10" t="n">
        <v>548877.325</v>
      </c>
      <c r="D28" s="10" t="n">
        <v>466904.637</v>
      </c>
      <c r="E28" s="11">
        <f>IF(C28="","",B28/C28)</f>
        <v/>
      </c>
      <c r="F28" s="12">
        <f>IF(E28="","",E28*100)</f>
        <v/>
      </c>
      <c r="G28" s="11">
        <f>B28/D28</f>
        <v/>
      </c>
      <c r="H28" s="12">
        <f>G28*100</f>
        <v/>
      </c>
      <c r="I28" s="12">
        <f>IF(F28="","",H28-F28)</f>
        <v/>
      </c>
      <c r="J28" s="12">
        <f>H28-H27</f>
        <v/>
      </c>
      <c r="K28" s="15">
        <f>(D28-D27)/D27*100</f>
        <v/>
      </c>
      <c r="L28" s="15">
        <f>(B28-B27)/B27*100</f>
        <v/>
      </c>
      <c r="M28" s="16">
        <f>IF(AND(K28&lt;=por_sk,L28&gt;=por_zaim),"оба",IF(K28&lt;=por_sk,"СК",IF(L28&gt;=por_zaim,"Займ","")))</f>
        <v/>
      </c>
      <c r="N28" s="11" t="n">
        <v>-0.01284831366</v>
      </c>
      <c r="O28" s="12">
        <f>N28*100</f>
        <v/>
      </c>
      <c r="P28" s="12">
        <f>O28-O27</f>
        <v/>
      </c>
      <c r="Q28" s="11" t="n">
        <v>-0.02063257704</v>
      </c>
      <c r="R28" s="12">
        <f>Q28*100</f>
        <v/>
      </c>
      <c r="S28" s="12">
        <f>R28-R27</f>
        <v/>
      </c>
      <c r="T28" s="14">
        <f>IF(OR(MID(A28,6,2)="02",MID(A28,6,2)="03"),1,0)</f>
        <v/>
      </c>
      <c r="U28" s="12">
        <f>IF(T28=0,P28,"")</f>
        <v/>
      </c>
      <c r="V28" s="12">
        <f>IF(T28=1,P28,"")</f>
        <v/>
      </c>
      <c r="W28" s="12">
        <f>O28-O24</f>
        <v/>
      </c>
      <c r="X28" s="14">
        <f>IF(SUM(T25:T28)&gt;0,1,0)</f>
        <v/>
      </c>
      <c r="Y28" s="12">
        <f>IF(X28=0,W28,"")</f>
        <v/>
      </c>
      <c r="Z28" s="12">
        <f>IF(X28=1,W28,"")</f>
        <v/>
      </c>
      <c r="AA28" s="12">
        <f>IF(T28=0,S28,"")</f>
        <v/>
      </c>
      <c r="AB28" s="12">
        <f>IF(T28=1,S28,"")</f>
        <v/>
      </c>
      <c r="AC28" s="12">
        <f>R28-R24</f>
        <v/>
      </c>
      <c r="AD28" s="12">
        <f>IF(X28=0,AC28,"")</f>
        <v/>
      </c>
      <c r="AE28" s="12">
        <f>IF(X28=1,AC28,"")</f>
        <v/>
      </c>
      <c r="AF28" s="12">
        <f>H28-H24</f>
        <v/>
      </c>
    </row>
    <row r="29">
      <c r="A29" s="9" t="inlineStr">
        <is>
          <t>2025-08-01</t>
        </is>
      </c>
      <c r="B29" s="10" t="n">
        <v>421697.9</v>
      </c>
      <c r="C29" s="10" t="n">
        <v>541721.687</v>
      </c>
      <c r="D29" s="10" t="n">
        <v>460260.73</v>
      </c>
      <c r="E29" s="11">
        <f>IF(C29="","",B29/C29)</f>
        <v/>
      </c>
      <c r="F29" s="12">
        <f>IF(E29="","",E29*100)</f>
        <v/>
      </c>
      <c r="G29" s="11">
        <f>B29/D29</f>
        <v/>
      </c>
      <c r="H29" s="12">
        <f>G29*100</f>
        <v/>
      </c>
      <c r="I29" s="12">
        <f>IF(F29="","",H29-F29)</f>
        <v/>
      </c>
      <c r="J29" s="12">
        <f>H29-H28</f>
        <v/>
      </c>
      <c r="K29" s="15">
        <f>(D29-D28)/D28*100</f>
        <v/>
      </c>
      <c r="L29" s="15">
        <f>(B29-B28)/B28*100</f>
        <v/>
      </c>
      <c r="M29" s="16">
        <f>IF(AND(K29&lt;=por_sk,L29&gt;=por_zaim),"оба",IF(K29&lt;=por_sk,"СК",IF(L29&gt;=por_zaim,"Займ","")))</f>
        <v/>
      </c>
      <c r="N29" s="11" t="n">
        <v>-0.01076612716</v>
      </c>
      <c r="O29" s="12">
        <f>N29*100</f>
        <v/>
      </c>
      <c r="P29" s="12">
        <f>O29-O28</f>
        <v/>
      </c>
      <c r="Q29" s="11" t="n">
        <v>-0.01824222316</v>
      </c>
      <c r="R29" s="12">
        <f>Q29*100</f>
        <v/>
      </c>
      <c r="S29" s="12">
        <f>R29-R28</f>
        <v/>
      </c>
      <c r="T29" s="14">
        <f>IF(OR(MID(A29,6,2)="02",MID(A29,6,2)="03"),1,0)</f>
        <v/>
      </c>
      <c r="U29" s="12">
        <f>IF(T29=0,P29,"")</f>
        <v/>
      </c>
      <c r="V29" s="12">
        <f>IF(T29=1,P29,"")</f>
        <v/>
      </c>
      <c r="W29" s="12">
        <f>O29-O25</f>
        <v/>
      </c>
      <c r="X29" s="14">
        <f>IF(SUM(T26:T29)&gt;0,1,0)</f>
        <v/>
      </c>
      <c r="Y29" s="12">
        <f>IF(X29=0,W29,"")</f>
        <v/>
      </c>
      <c r="Z29" s="12">
        <f>IF(X29=1,W29,"")</f>
        <v/>
      </c>
      <c r="AA29" s="12">
        <f>IF(T29=0,S29,"")</f>
        <v/>
      </c>
      <c r="AB29" s="12">
        <f>IF(T29=1,S29,"")</f>
        <v/>
      </c>
      <c r="AC29" s="12">
        <f>R29-R25</f>
        <v/>
      </c>
      <c r="AD29" s="12">
        <f>IF(X29=0,AC29,"")</f>
        <v/>
      </c>
      <c r="AE29" s="12">
        <f>IF(X29=1,AC29,"")</f>
        <v/>
      </c>
      <c r="AF29" s="12">
        <f>H29-H25</f>
        <v/>
      </c>
    </row>
    <row r="30">
      <c r="A30" s="9" t="inlineStr">
        <is>
          <t>2025-09-01</t>
        </is>
      </c>
      <c r="B30" s="10" t="n">
        <v>420361.1</v>
      </c>
      <c r="C30" s="10" t="n">
        <v>547298.225</v>
      </c>
      <c r="D30" s="10" t="n">
        <v>466364.472</v>
      </c>
      <c r="E30" s="11">
        <f>IF(C30="","",B30/C30)</f>
        <v/>
      </c>
      <c r="F30" s="12">
        <f>IF(E30="","",E30*100)</f>
        <v/>
      </c>
      <c r="G30" s="11">
        <f>B30/D30</f>
        <v/>
      </c>
      <c r="H30" s="12">
        <f>G30*100</f>
        <v/>
      </c>
      <c r="I30" s="12">
        <f>IF(F30="","",H30-F30)</f>
        <v/>
      </c>
      <c r="J30" s="12">
        <f>H30-H29</f>
        <v/>
      </c>
      <c r="K30" s="15">
        <f>(D30-D29)/D29*100</f>
        <v/>
      </c>
      <c r="L30" s="15">
        <f>(B30-B29)/B29*100</f>
        <v/>
      </c>
      <c r="M30" s="16">
        <f>IF(AND(K30&lt;=por_sk,L30&gt;=por_zaim),"оба",IF(K30&lt;=por_sk,"СК",IF(L30&gt;=por_zaim,"Займ","")))</f>
        <v/>
      </c>
      <c r="N30" s="11" t="n">
        <v>-0.01019961477</v>
      </c>
      <c r="O30" s="12">
        <f>N30*100</f>
        <v/>
      </c>
      <c r="P30" s="12">
        <f>O30-O29</f>
        <v/>
      </c>
      <c r="Q30" s="11" t="n">
        <v>-0.01787913537</v>
      </c>
      <c r="R30" s="12">
        <f>Q30*100</f>
        <v/>
      </c>
      <c r="S30" s="12">
        <f>R30-R29</f>
        <v/>
      </c>
      <c r="T30" s="14">
        <f>IF(OR(MID(A30,6,2)="02",MID(A30,6,2)="03"),1,0)</f>
        <v/>
      </c>
      <c r="U30" s="12">
        <f>IF(T30=0,P30,"")</f>
        <v/>
      </c>
      <c r="V30" s="12">
        <f>IF(T30=1,P30,"")</f>
        <v/>
      </c>
      <c r="W30" s="12">
        <f>O30-O26</f>
        <v/>
      </c>
      <c r="X30" s="14">
        <f>IF(SUM(T27:T30)&gt;0,1,0)</f>
        <v/>
      </c>
      <c r="Y30" s="12">
        <f>IF(X30=0,W30,"")</f>
        <v/>
      </c>
      <c r="Z30" s="12">
        <f>IF(X30=1,W30,"")</f>
        <v/>
      </c>
      <c r="AA30" s="12">
        <f>IF(T30=0,S30,"")</f>
        <v/>
      </c>
      <c r="AB30" s="12">
        <f>IF(T30=1,S30,"")</f>
        <v/>
      </c>
      <c r="AC30" s="12">
        <f>R30-R26</f>
        <v/>
      </c>
      <c r="AD30" s="12">
        <f>IF(X30=0,AC30,"")</f>
        <v/>
      </c>
      <c r="AE30" s="12">
        <f>IF(X30=1,AC30,"")</f>
        <v/>
      </c>
      <c r="AF30" s="12">
        <f>H30-H26</f>
        <v/>
      </c>
    </row>
    <row r="31">
      <c r="A31" s="9" t="inlineStr">
        <is>
          <t>2025-10-01</t>
        </is>
      </c>
      <c r="B31" s="10" t="n">
        <v>421816</v>
      </c>
      <c r="C31" s="10" t="n">
        <v>550245.387</v>
      </c>
      <c r="D31" s="10" t="n">
        <v>469835.804</v>
      </c>
      <c r="E31" s="11">
        <f>IF(C31="","",B31/C31)</f>
        <v/>
      </c>
      <c r="F31" s="12">
        <f>IF(E31="","",E31*100)</f>
        <v/>
      </c>
      <c r="G31" s="11">
        <f>B31/D31</f>
        <v/>
      </c>
      <c r="H31" s="12">
        <f>G31*100</f>
        <v/>
      </c>
      <c r="I31" s="12">
        <f>IF(F31="","",H31-F31)</f>
        <v/>
      </c>
      <c r="J31" s="12">
        <f>H31-H30</f>
        <v/>
      </c>
      <c r="K31" s="15">
        <f>(D31-D30)/D30*100</f>
        <v/>
      </c>
      <c r="L31" s="15">
        <f>(B31-B30)/B30*100</f>
        <v/>
      </c>
      <c r="M31" s="16">
        <f>IF(AND(K31&lt;=por_sk,L31&gt;=por_zaim),"оба",IF(K31&lt;=por_sk,"СК",IF(L31&gt;=por_zaim,"Займ","")))</f>
        <v/>
      </c>
      <c r="N31" s="11" t="n">
        <v>-0.009223722526999999</v>
      </c>
      <c r="O31" s="12">
        <f>N31*100</f>
        <v/>
      </c>
      <c r="P31" s="12">
        <f>O31-O30</f>
        <v/>
      </c>
      <c r="Q31" s="11" t="n">
        <v>-0.01507613398</v>
      </c>
      <c r="R31" s="12">
        <f>Q31*100</f>
        <v/>
      </c>
      <c r="S31" s="12">
        <f>R31-R30</f>
        <v/>
      </c>
      <c r="T31" s="14">
        <f>IF(OR(MID(A31,6,2)="02",MID(A31,6,2)="03"),1,0)</f>
        <v/>
      </c>
      <c r="U31" s="12">
        <f>IF(T31=0,P31,"")</f>
        <v/>
      </c>
      <c r="V31" s="12">
        <f>IF(T31=1,P31,"")</f>
        <v/>
      </c>
      <c r="W31" s="12">
        <f>O31-O27</f>
        <v/>
      </c>
      <c r="X31" s="14">
        <f>IF(SUM(T28:T31)&gt;0,1,0)</f>
        <v/>
      </c>
      <c r="Y31" s="12">
        <f>IF(X31=0,W31,"")</f>
        <v/>
      </c>
      <c r="Z31" s="12">
        <f>IF(X31=1,W31,"")</f>
        <v/>
      </c>
      <c r="AA31" s="12">
        <f>IF(T31=0,S31,"")</f>
        <v/>
      </c>
      <c r="AB31" s="12">
        <f>IF(T31=1,S31,"")</f>
        <v/>
      </c>
      <c r="AC31" s="12">
        <f>R31-R27</f>
        <v/>
      </c>
      <c r="AD31" s="12">
        <f>IF(X31=0,AC31,"")</f>
        <v/>
      </c>
      <c r="AE31" s="12">
        <f>IF(X31=1,AC31,"")</f>
        <v/>
      </c>
      <c r="AF31" s="12">
        <f>H31-H27</f>
        <v/>
      </c>
    </row>
    <row r="32">
      <c r="A32" s="9" t="inlineStr">
        <is>
          <t>2025-11-01</t>
        </is>
      </c>
      <c r="B32" s="10" t="n">
        <v>403001.7</v>
      </c>
      <c r="C32" s="10" t="n">
        <v>547740.925</v>
      </c>
      <c r="D32" s="10" t="n">
        <v>467852.15</v>
      </c>
      <c r="E32" s="11">
        <f>IF(C32="","",B32/C32)</f>
        <v/>
      </c>
      <c r="F32" s="12">
        <f>IF(E32="","",E32*100)</f>
        <v/>
      </c>
      <c r="G32" s="11">
        <f>B32/D32</f>
        <v/>
      </c>
      <c r="H32" s="12">
        <f>G32*100</f>
        <v/>
      </c>
      <c r="I32" s="12">
        <f>IF(F32="","",H32-F32)</f>
        <v/>
      </c>
      <c r="J32" s="12">
        <f>H32-H31</f>
        <v/>
      </c>
      <c r="K32" s="15">
        <f>(D32-D31)/D31*100</f>
        <v/>
      </c>
      <c r="L32" s="15">
        <f>(B32-B31)/B31*100</f>
        <v/>
      </c>
      <c r="M32" s="16">
        <f>IF(AND(K32&lt;=por_sk,L32&gt;=por_zaim),"оба",IF(K32&lt;=por_sk,"СК",IF(L32&gt;=por_zaim,"Займ","")))</f>
        <v/>
      </c>
      <c r="N32" s="11" t="n">
        <v>-0.009368964495</v>
      </c>
      <c r="O32" s="12">
        <f>N32*100</f>
        <v/>
      </c>
      <c r="P32" s="12">
        <f>O32-O31</f>
        <v/>
      </c>
      <c r="Q32" s="11" t="n">
        <v>-0.01040587626</v>
      </c>
      <c r="R32" s="12">
        <f>Q32*100</f>
        <v/>
      </c>
      <c r="S32" s="12">
        <f>R32-R31</f>
        <v/>
      </c>
      <c r="T32" s="14">
        <f>IF(OR(MID(A32,6,2)="02",MID(A32,6,2)="03"),1,0)</f>
        <v/>
      </c>
      <c r="U32" s="12">
        <f>IF(T32=0,P32,"")</f>
        <v/>
      </c>
      <c r="V32" s="12">
        <f>IF(T32=1,P32,"")</f>
        <v/>
      </c>
      <c r="W32" s="12">
        <f>O32-O28</f>
        <v/>
      </c>
      <c r="X32" s="14">
        <f>IF(SUM(T29:T32)&gt;0,1,0)</f>
        <v/>
      </c>
      <c r="Y32" s="12">
        <f>IF(X32=0,W32,"")</f>
        <v/>
      </c>
      <c r="Z32" s="12">
        <f>IF(X32=1,W32,"")</f>
        <v/>
      </c>
      <c r="AA32" s="12">
        <f>IF(T32=0,S32,"")</f>
        <v/>
      </c>
      <c r="AB32" s="12">
        <f>IF(T32=1,S32,"")</f>
        <v/>
      </c>
      <c r="AC32" s="12">
        <f>R32-R28</f>
        <v/>
      </c>
      <c r="AD32" s="12">
        <f>IF(X32=0,AC32,"")</f>
        <v/>
      </c>
      <c r="AE32" s="12">
        <f>IF(X32=1,AC32,"")</f>
        <v/>
      </c>
      <c r="AF32" s="12">
        <f>H32-H28</f>
        <v/>
      </c>
    </row>
    <row r="33">
      <c r="A33" s="9" t="inlineStr">
        <is>
          <t>2025-12-01</t>
        </is>
      </c>
      <c r="B33" s="10" t="n">
        <v>411642.9</v>
      </c>
      <c r="C33" s="10" t="n">
        <v>557685.15</v>
      </c>
      <c r="D33" s="10" t="n">
        <v>477796.375</v>
      </c>
      <c r="E33" s="11">
        <f>IF(C33="","",B33/C33)</f>
        <v/>
      </c>
      <c r="F33" s="12">
        <f>IF(E33="","",E33*100)</f>
        <v/>
      </c>
      <c r="G33" s="11">
        <f>B33/D33</f>
        <v/>
      </c>
      <c r="H33" s="12">
        <f>G33*100</f>
        <v/>
      </c>
      <c r="I33" s="12">
        <f>IF(F33="","",H33-F33)</f>
        <v/>
      </c>
      <c r="J33" s="12">
        <f>H33-H32</f>
        <v/>
      </c>
      <c r="K33" s="15">
        <f>(D33-D32)/D32*100</f>
        <v/>
      </c>
      <c r="L33" s="15">
        <f>(B33-B32)/B32*100</f>
        <v/>
      </c>
      <c r="M33" s="16">
        <f>IF(AND(K33&lt;=por_sk,L33&gt;=por_zaim),"оба",IF(K33&lt;=por_sk,"СК",IF(L33&gt;=por_zaim,"Займ","")))</f>
        <v/>
      </c>
      <c r="N33" s="11" t="n">
        <v>-0.009146300087999999</v>
      </c>
      <c r="O33" s="12">
        <f>N33*100</f>
        <v/>
      </c>
      <c r="P33" s="12">
        <f>O33-O32</f>
        <v/>
      </c>
      <c r="Q33" s="11" t="n">
        <v>-0.008341282269</v>
      </c>
      <c r="R33" s="12">
        <f>Q33*100</f>
        <v/>
      </c>
      <c r="S33" s="12">
        <f>R33-R32</f>
        <v/>
      </c>
      <c r="T33" s="14">
        <f>IF(OR(MID(A33,6,2)="02",MID(A33,6,2)="03"),1,0)</f>
        <v/>
      </c>
      <c r="U33" s="12">
        <f>IF(T33=0,P33,"")</f>
        <v/>
      </c>
      <c r="V33" s="12">
        <f>IF(T33=1,P33,"")</f>
        <v/>
      </c>
      <c r="W33" s="12">
        <f>O33-O29</f>
        <v/>
      </c>
      <c r="X33" s="14">
        <f>IF(SUM(T30:T33)&gt;0,1,0)</f>
        <v/>
      </c>
      <c r="Y33" s="12">
        <f>IF(X33=0,W33,"")</f>
        <v/>
      </c>
      <c r="Z33" s="12">
        <f>IF(X33=1,W33,"")</f>
        <v/>
      </c>
      <c r="AA33" s="12">
        <f>IF(T33=0,S33,"")</f>
        <v/>
      </c>
      <c r="AB33" s="12">
        <f>IF(T33=1,S33,"")</f>
        <v/>
      </c>
      <c r="AC33" s="12">
        <f>R33-R29</f>
        <v/>
      </c>
      <c r="AD33" s="12">
        <f>IF(X33=0,AC33,"")</f>
        <v/>
      </c>
      <c r="AE33" s="12">
        <f>IF(X33=1,AC33,"")</f>
        <v/>
      </c>
      <c r="AF33" s="12">
        <f>H33-H29</f>
        <v/>
      </c>
    </row>
    <row r="34">
      <c r="A34" s="9" t="inlineStr">
        <is>
          <t>2026-01-01</t>
        </is>
      </c>
      <c r="B34" s="10" t="n">
        <v>421717.7</v>
      </c>
      <c r="C34" s="10" t="n">
        <v>503086.114</v>
      </c>
      <c r="D34" s="10" t="n">
        <v>439961.267</v>
      </c>
      <c r="E34" s="11">
        <f>IF(C34="","",B34/C34)</f>
        <v/>
      </c>
      <c r="F34" s="12">
        <f>IF(E34="","",E34*100)</f>
        <v/>
      </c>
      <c r="G34" s="11">
        <f>B34/D34</f>
        <v/>
      </c>
      <c r="H34" s="12">
        <f>G34*100</f>
        <v/>
      </c>
      <c r="I34" s="12">
        <f>IF(F34="","",H34-F34)</f>
        <v/>
      </c>
      <c r="J34" s="12">
        <f>H34-H33</f>
        <v/>
      </c>
      <c r="K34" s="15">
        <f>(D34-D33)/D33*100</f>
        <v/>
      </c>
      <c r="L34" s="15">
        <f>(B34-B33)/B33*100</f>
        <v/>
      </c>
      <c r="M34" s="16">
        <f>IF(AND(K34&lt;=por_sk,L34&gt;=por_zaim),"оба",IF(K34&lt;=por_sk,"СК",IF(L34&gt;=por_zaim,"Займ","")))</f>
        <v/>
      </c>
      <c r="N34" s="11" t="n">
        <v>-0.01000642628</v>
      </c>
      <c r="O34" s="12">
        <f>N34*100</f>
        <v/>
      </c>
      <c r="P34" s="12">
        <f>O34-O33</f>
        <v/>
      </c>
      <c r="Q34" s="11" t="n">
        <v>-0.009844635963</v>
      </c>
      <c r="R34" s="12">
        <f>Q34*100</f>
        <v/>
      </c>
      <c r="S34" s="12">
        <f>R34-R33</f>
        <v/>
      </c>
      <c r="T34" s="14">
        <f>IF(OR(MID(A34,6,2)="02",MID(A34,6,2)="03"),1,0)</f>
        <v/>
      </c>
      <c r="U34" s="12">
        <f>IF(T34=0,P34,"")</f>
        <v/>
      </c>
      <c r="V34" s="12">
        <f>IF(T34=1,P34,"")</f>
        <v/>
      </c>
      <c r="W34" s="12">
        <f>O34-O30</f>
        <v/>
      </c>
      <c r="X34" s="14">
        <f>IF(SUM(T31:T34)&gt;0,1,0)</f>
        <v/>
      </c>
      <c r="Y34" s="12">
        <f>IF(X34=0,W34,"")</f>
        <v/>
      </c>
      <c r="Z34" s="12">
        <f>IF(X34=1,W34,"")</f>
        <v/>
      </c>
      <c r="AA34" s="12">
        <f>IF(T34=0,S34,"")</f>
        <v/>
      </c>
      <c r="AB34" s="12">
        <f>IF(T34=1,S34,"")</f>
        <v/>
      </c>
      <c r="AC34" s="12">
        <f>R34-R30</f>
        <v/>
      </c>
      <c r="AD34" s="12">
        <f>IF(X34=0,AC34,"")</f>
        <v/>
      </c>
      <c r="AE34" s="12">
        <f>IF(X34=1,AC34,"")</f>
        <v/>
      </c>
      <c r="AF34" s="12">
        <f>H34-H30</f>
        <v/>
      </c>
    </row>
    <row r="35">
      <c r="A35" s="9" t="inlineStr">
        <is>
          <t>2026-02-01</t>
        </is>
      </c>
      <c r="B35" s="10" t="n">
        <v>393670.5</v>
      </c>
      <c r="C35" s="10" t="n"/>
      <c r="D35" s="10" t="n">
        <v>440063.853</v>
      </c>
      <c r="E35" s="11">
        <f>IF(C35="","",B35/C35)</f>
        <v/>
      </c>
      <c r="F35" s="12">
        <f>IF(E35="","",E35*100)</f>
        <v/>
      </c>
      <c r="G35" s="11">
        <f>B35/D35</f>
        <v/>
      </c>
      <c r="H35" s="12">
        <f>G35*100</f>
        <v/>
      </c>
      <c r="I35" s="12">
        <f>IF(F35="","",H35-F35)</f>
        <v/>
      </c>
      <c r="J35" s="12">
        <f>H35-H34</f>
        <v/>
      </c>
      <c r="K35" s="15">
        <f>(D35-D34)/D34*100</f>
        <v/>
      </c>
      <c r="L35" s="15">
        <f>(B35-B34)/B34*100</f>
        <v/>
      </c>
      <c r="M35" s="16">
        <f>IF(AND(K35&lt;=por_sk,L35&gt;=por_zaim),"оба",IF(K35&lt;=por_sk,"СК",IF(L35&gt;=por_zaim,"Займ","")))</f>
        <v/>
      </c>
      <c r="N35" s="11" t="n">
        <v>0.006211628852</v>
      </c>
      <c r="O35" s="12">
        <f>N35*100</f>
        <v/>
      </c>
      <c r="P35" s="12">
        <f>O35-O34</f>
        <v/>
      </c>
      <c r="Q35" s="11" t="n">
        <v>0.004731440595</v>
      </c>
      <c r="R35" s="12">
        <f>Q35*100</f>
        <v/>
      </c>
      <c r="S35" s="12">
        <f>R35-R34</f>
        <v/>
      </c>
      <c r="T35" s="14">
        <f>IF(OR(MID(A35,6,2)="02",MID(A35,6,2)="03"),1,0)</f>
        <v/>
      </c>
      <c r="U35" s="12">
        <f>IF(T35=0,P35,"")</f>
        <v/>
      </c>
      <c r="V35" s="12">
        <f>IF(T35=1,P35,"")</f>
        <v/>
      </c>
      <c r="W35" s="12">
        <f>O35-O31</f>
        <v/>
      </c>
      <c r="X35" s="14">
        <f>IF(SUM(T32:T35)&gt;0,1,0)</f>
        <v/>
      </c>
      <c r="Y35" s="12">
        <f>IF(X35=0,W35,"")</f>
        <v/>
      </c>
      <c r="Z35" s="12">
        <f>IF(X35=1,W35,"")</f>
        <v/>
      </c>
      <c r="AA35" s="12">
        <f>IF(T35=0,S35,"")</f>
        <v/>
      </c>
      <c r="AB35" s="12">
        <f>IF(T35=1,S35,"")</f>
        <v/>
      </c>
      <c r="AC35" s="12">
        <f>R35-R31</f>
        <v/>
      </c>
      <c r="AD35" s="12">
        <f>IF(X35=0,AC35,"")</f>
        <v/>
      </c>
      <c r="AE35" s="12">
        <f>IF(X35=1,AC35,"")</f>
        <v/>
      </c>
      <c r="AF35" s="12">
        <f>H35-H31</f>
        <v/>
      </c>
    </row>
    <row r="36">
      <c r="A36" s="9" t="inlineStr">
        <is>
          <t>2026-03-01</t>
        </is>
      </c>
      <c r="B36" s="10" t="n">
        <v>395281.7</v>
      </c>
      <c r="C36" s="10" t="n"/>
      <c r="D36" s="10" t="n">
        <v>449623.796</v>
      </c>
      <c r="E36" s="11">
        <f>IF(C36="","",B36/C36)</f>
        <v/>
      </c>
      <c r="F36" s="12">
        <f>IF(E36="","",E36*100)</f>
        <v/>
      </c>
      <c r="G36" s="11">
        <f>B36/D36</f>
        <v/>
      </c>
      <c r="H36" s="12">
        <f>G36*100</f>
        <v/>
      </c>
      <c r="I36" s="12">
        <f>IF(F36="","",H36-F36)</f>
        <v/>
      </c>
      <c r="J36" s="12">
        <f>H36-H35</f>
        <v/>
      </c>
      <c r="K36" s="15">
        <f>(D36-D35)/D35*100</f>
        <v/>
      </c>
      <c r="L36" s="15">
        <f>(B36-B35)/B35*100</f>
        <v/>
      </c>
      <c r="M36" s="16">
        <f>IF(AND(K36&lt;=por_sk,L36&gt;=por_zaim),"оба",IF(K36&lt;=por_sk,"СК",IF(L36&gt;=por_zaim,"Займ","")))</f>
        <v/>
      </c>
      <c r="N36" s="11" t="n">
        <v>0.001174774637</v>
      </c>
      <c r="O36" s="12">
        <f>N36*100</f>
        <v/>
      </c>
      <c r="P36" s="12">
        <f>O36-O35</f>
        <v/>
      </c>
      <c r="Q36" s="11" t="n">
        <v>0.002976355917</v>
      </c>
      <c r="R36" s="12">
        <f>Q36*100</f>
        <v/>
      </c>
      <c r="S36" s="12">
        <f>R36-R35</f>
        <v/>
      </c>
      <c r="T36" s="14">
        <f>IF(OR(MID(A36,6,2)="02",MID(A36,6,2)="03"),1,0)</f>
        <v/>
      </c>
      <c r="U36" s="12">
        <f>IF(T36=0,P36,"")</f>
        <v/>
      </c>
      <c r="V36" s="12">
        <f>IF(T36=1,P36,"")</f>
        <v/>
      </c>
      <c r="W36" s="12">
        <f>O36-O32</f>
        <v/>
      </c>
      <c r="X36" s="14">
        <f>IF(SUM(T33:T36)&gt;0,1,0)</f>
        <v/>
      </c>
      <c r="Y36" s="12">
        <f>IF(X36=0,W36,"")</f>
        <v/>
      </c>
      <c r="Z36" s="12">
        <f>IF(X36=1,W36,"")</f>
        <v/>
      </c>
      <c r="AA36" s="12">
        <f>IF(T36=0,S36,"")</f>
        <v/>
      </c>
      <c r="AB36" s="12">
        <f>IF(T36=1,S36,"")</f>
        <v/>
      </c>
      <c r="AC36" s="12">
        <f>R36-R32</f>
        <v/>
      </c>
      <c r="AD36" s="12">
        <f>IF(X36=0,AC36,"")</f>
        <v/>
      </c>
      <c r="AE36" s="12">
        <f>IF(X36=1,AC36,"")</f>
        <v/>
      </c>
      <c r="AF36" s="12">
        <f>H36-H32</f>
        <v/>
      </c>
    </row>
    <row r="37">
      <c r="A37" s="9" t="inlineStr">
        <is>
          <t>2026-04-01</t>
        </is>
      </c>
      <c r="B37" s="10" t="n">
        <v>416607.1</v>
      </c>
      <c r="C37" s="10" t="n"/>
      <c r="D37" s="10" t="n">
        <v>446679.827</v>
      </c>
      <c r="E37" s="11">
        <f>IF(C37="","",B37/C37)</f>
        <v/>
      </c>
      <c r="F37" s="12">
        <f>IF(E37="","",E37*100)</f>
        <v/>
      </c>
      <c r="G37" s="11">
        <f>B37/D37</f>
        <v/>
      </c>
      <c r="H37" s="12">
        <f>G37*100</f>
        <v/>
      </c>
      <c r="I37" s="12">
        <f>IF(F37="","",H37-F37)</f>
        <v/>
      </c>
      <c r="J37" s="12">
        <f>H37-H36</f>
        <v/>
      </c>
      <c r="K37" s="15">
        <f>(D37-D36)/D36*100</f>
        <v/>
      </c>
      <c r="L37" s="15">
        <f>(B37-B36)/B36*100</f>
        <v/>
      </c>
      <c r="M37" s="16">
        <f>IF(AND(K37&lt;=por_sk,L37&gt;=por_zaim),"оба",IF(K37&lt;=por_sk,"СК",IF(L37&gt;=por_zaim,"Займ","")))</f>
        <v/>
      </c>
      <c r="N37" s="11" t="n">
        <v>-0.003483003224</v>
      </c>
      <c r="O37" s="12">
        <f>N37*100</f>
        <v/>
      </c>
      <c r="P37" s="12">
        <f>O37-O36</f>
        <v/>
      </c>
      <c r="Q37" s="11" t="n">
        <v>0.001964413579</v>
      </c>
      <c r="R37" s="12">
        <f>Q37*100</f>
        <v/>
      </c>
      <c r="S37" s="12">
        <f>R37-R36</f>
        <v/>
      </c>
      <c r="T37" s="14">
        <f>IF(OR(MID(A37,6,2)="02",MID(A37,6,2)="03"),1,0)</f>
        <v/>
      </c>
      <c r="U37" s="12">
        <f>IF(T37=0,P37,"")</f>
        <v/>
      </c>
      <c r="V37" s="12">
        <f>IF(T37=1,P37,"")</f>
        <v/>
      </c>
      <c r="W37" s="12">
        <f>O37-O33</f>
        <v/>
      </c>
      <c r="X37" s="14">
        <f>IF(SUM(T34:T37)&gt;0,1,0)</f>
        <v/>
      </c>
      <c r="Y37" s="12">
        <f>IF(X37=0,W37,"")</f>
        <v/>
      </c>
      <c r="Z37" s="12">
        <f>IF(X37=1,W37,"")</f>
        <v/>
      </c>
      <c r="AA37" s="12">
        <f>IF(T37=0,S37,"")</f>
        <v/>
      </c>
      <c r="AB37" s="12">
        <f>IF(T37=1,S37,"")</f>
        <v/>
      </c>
      <c r="AC37" s="12">
        <f>R37-R33</f>
        <v/>
      </c>
      <c r="AD37" s="12">
        <f>IF(X37=0,AC37,"")</f>
        <v/>
      </c>
      <c r="AE37" s="12">
        <f>IF(X37=1,AC37,"")</f>
        <v/>
      </c>
      <c r="AF37" s="12">
        <f>H37-H33</f>
        <v/>
      </c>
    </row>
    <row r="38">
      <c r="A38" s="9" t="inlineStr">
        <is>
          <t>2026-05-01</t>
        </is>
      </c>
      <c r="B38" s="10" t="n">
        <v>439754.5</v>
      </c>
      <c r="C38" s="10" t="n"/>
      <c r="D38" s="10" t="n">
        <v>446857.154</v>
      </c>
      <c r="E38" s="11">
        <f>IF(C38="","",B38/C38)</f>
        <v/>
      </c>
      <c r="F38" s="12">
        <f>IF(E38="","",E38*100)</f>
        <v/>
      </c>
      <c r="G38" s="11">
        <f>B38/D38</f>
        <v/>
      </c>
      <c r="H38" s="12">
        <f>G38*100</f>
        <v/>
      </c>
      <c r="I38" s="12">
        <f>IF(F38="","",H38-F38)</f>
        <v/>
      </c>
      <c r="J38" s="12">
        <f>H38-H37</f>
        <v/>
      </c>
      <c r="K38" s="15">
        <f>(D38-D37)/D37*100</f>
        <v/>
      </c>
      <c r="L38" s="15">
        <f>(B38-B37)/B37*100</f>
        <v/>
      </c>
      <c r="M38" s="16">
        <f>IF(AND(K38&lt;=por_sk,L38&gt;=por_zaim),"оба",IF(K38&lt;=por_sk,"СК",IF(L38&gt;=por_zaim,"Займ","")))</f>
        <v/>
      </c>
      <c r="N38" s="11" t="n">
        <v>-0.003399834341</v>
      </c>
      <c r="O38" s="12">
        <f>N38*100</f>
        <v/>
      </c>
      <c r="P38" s="12">
        <f>O38-O37</f>
        <v/>
      </c>
      <c r="Q38" s="11" t="n">
        <v>0.001914285625</v>
      </c>
      <c r="R38" s="12">
        <f>Q38*100</f>
        <v/>
      </c>
      <c r="S38" s="12">
        <f>R38-R37</f>
        <v/>
      </c>
      <c r="T38" s="14">
        <f>IF(OR(MID(A38,6,2)="02",MID(A38,6,2)="03"),1,0)</f>
        <v/>
      </c>
      <c r="U38" s="12">
        <f>IF(T38=0,P38,"")</f>
        <v/>
      </c>
      <c r="V38" s="12">
        <f>IF(T38=1,P38,"")</f>
        <v/>
      </c>
      <c r="W38" s="12">
        <f>O38-O34</f>
        <v/>
      </c>
      <c r="X38" s="14">
        <f>IF(SUM(T35:T38)&gt;0,1,0)</f>
        <v/>
      </c>
      <c r="Y38" s="12">
        <f>IF(X38=0,W38,"")</f>
        <v/>
      </c>
      <c r="Z38" s="12">
        <f>IF(X38=1,W38,"")</f>
        <v/>
      </c>
      <c r="AA38" s="12">
        <f>IF(T38=0,S38,"")</f>
        <v/>
      </c>
      <c r="AB38" s="12">
        <f>IF(T38=1,S38,"")</f>
        <v/>
      </c>
      <c r="AC38" s="12">
        <f>R38-R34</f>
        <v/>
      </c>
      <c r="AD38" s="12">
        <f>IF(X38=0,AC38,"")</f>
        <v/>
      </c>
      <c r="AE38" s="12">
        <f>IF(X38=1,AC38,"")</f>
        <v/>
      </c>
      <c r="AF38" s="12">
        <f>H38-H34</f>
        <v/>
      </c>
    </row>
    <row r="39">
      <c r="A39" s="9" t="inlineStr">
        <is>
          <t>2026-06-01</t>
        </is>
      </c>
      <c r="B39" s="10" t="n">
        <v>444048.8</v>
      </c>
      <c r="C39" s="10" t="n"/>
      <c r="D39" s="10" t="n">
        <v>440316.783</v>
      </c>
      <c r="E39" s="11">
        <f>IF(C39="","",B39/C39)</f>
        <v/>
      </c>
      <c r="F39" s="12">
        <f>IF(E39="","",E39*100)</f>
        <v/>
      </c>
      <c r="G39" s="11">
        <f>B39/D39</f>
        <v/>
      </c>
      <c r="H39" s="12">
        <f>G39*100</f>
        <v/>
      </c>
      <c r="I39" s="12">
        <f>IF(F39="","",H39-F39)</f>
        <v/>
      </c>
      <c r="J39" s="12">
        <f>H39-H38</f>
        <v/>
      </c>
      <c r="K39" s="15">
        <f>(D39-D38)/D38*100</f>
        <v/>
      </c>
      <c r="L39" s="15">
        <f>(B39-B38)/B38*100</f>
        <v/>
      </c>
      <c r="M39" s="16">
        <f>IF(AND(K39&lt;=por_sk,L39&gt;=por_zaim),"оба",IF(K39&lt;=por_sk,"СК",IF(L39&gt;=por_zaim,"Займ","")))</f>
        <v/>
      </c>
      <c r="N39" s="11" t="n">
        <v>0.003774368159</v>
      </c>
      <c r="O39" s="12">
        <f>N39*100</f>
        <v/>
      </c>
      <c r="P39" s="12">
        <f>O39-O38</f>
        <v/>
      </c>
      <c r="Q39" s="11" t="n">
        <v>0.00337118251</v>
      </c>
      <c r="R39" s="12">
        <f>Q39*100</f>
        <v/>
      </c>
      <c r="S39" s="12">
        <f>R39-R38</f>
        <v/>
      </c>
      <c r="T39" s="14">
        <f>IF(OR(MID(A39,6,2)="02",MID(A39,6,2)="03"),1,0)</f>
        <v/>
      </c>
      <c r="U39" s="12">
        <f>IF(T39=0,P39,"")</f>
        <v/>
      </c>
      <c r="V39" s="12">
        <f>IF(T39=1,P39,"")</f>
        <v/>
      </c>
      <c r="W39" s="12">
        <f>O39-O35</f>
        <v/>
      </c>
      <c r="X39" s="14">
        <f>IF(SUM(T36:T39)&gt;0,1,0)</f>
        <v/>
      </c>
      <c r="Y39" s="12">
        <f>IF(X39=0,W39,"")</f>
        <v/>
      </c>
      <c r="Z39" s="12">
        <f>IF(X39=1,W39,"")</f>
        <v/>
      </c>
      <c r="AA39" s="12">
        <f>IF(T39=0,S39,"")</f>
        <v/>
      </c>
      <c r="AB39" s="12">
        <f>IF(T39=1,S39,"")</f>
        <v/>
      </c>
      <c r="AC39" s="12">
        <f>R39-R35</f>
        <v/>
      </c>
      <c r="AD39" s="12">
        <f>IF(X39=0,AC39,"")</f>
        <v/>
      </c>
      <c r="AE39" s="12">
        <f>IF(X39=1,AC39,"")</f>
        <v/>
      </c>
      <c r="AF39" s="12">
        <f>H39-H35</f>
        <v/>
      </c>
    </row>
    <row r="40">
      <c r="A40" s="9" t="inlineStr">
        <is>
          <t>2026-07-01</t>
        </is>
      </c>
      <c r="B40" s="10" t="n">
        <v>448999.7</v>
      </c>
      <c r="C40" s="10" t="n"/>
      <c r="D40" s="10" t="n">
        <v>442346.331</v>
      </c>
      <c r="E40" s="11">
        <f>IF(C40="","",B40/C40)</f>
        <v/>
      </c>
      <c r="F40" s="12">
        <f>IF(E40="","",E40*100)</f>
        <v/>
      </c>
      <c r="G40" s="11">
        <f>B40/D40</f>
        <v/>
      </c>
      <c r="H40" s="12">
        <f>G40*100</f>
        <v/>
      </c>
      <c r="I40" s="12">
        <f>IF(F40="","",H40-F40)</f>
        <v/>
      </c>
      <c r="J40" s="12">
        <f>H40-H39</f>
        <v/>
      </c>
      <c r="K40" s="15">
        <f>(D40-D39)/D39*100</f>
        <v/>
      </c>
      <c r="L40" s="15">
        <f>(B40-B39)/B39*100</f>
        <v/>
      </c>
      <c r="M40" s="16">
        <f>IF(AND(K40&lt;=por_sk,L40&gt;=por_zaim),"оба",IF(K40&lt;=por_sk,"СК",IF(L40&gt;=por_zaim,"Займ","")))</f>
        <v/>
      </c>
      <c r="N40" s="11" t="n">
        <v>-0.002673517612</v>
      </c>
      <c r="O40" s="12">
        <f>N40*100</f>
        <v/>
      </c>
      <c r="P40" s="12">
        <f>O40-O39</f>
        <v/>
      </c>
      <c r="Q40" s="11" t="n">
        <v>0.002666590121</v>
      </c>
      <c r="R40" s="12">
        <f>Q40*100</f>
        <v/>
      </c>
      <c r="S40" s="12">
        <f>R40-R39</f>
        <v/>
      </c>
      <c r="T40" s="14">
        <f>IF(OR(MID(A40,6,2)="02",MID(A40,6,2)="03"),1,0)</f>
        <v/>
      </c>
      <c r="U40" s="12">
        <f>IF(T40=0,P40,"")</f>
        <v/>
      </c>
      <c r="V40" s="12">
        <f>IF(T40=1,P40,"")</f>
        <v/>
      </c>
      <c r="W40" s="12">
        <f>O40-O36</f>
        <v/>
      </c>
      <c r="X40" s="14">
        <f>IF(SUM(T37:T40)&gt;0,1,0)</f>
        <v/>
      </c>
      <c r="Y40" s="12">
        <f>IF(X40=0,W40,"")</f>
        <v/>
      </c>
      <c r="Z40" s="12">
        <f>IF(X40=1,W40,"")</f>
        <v/>
      </c>
      <c r="AA40" s="12">
        <f>IF(T40=0,S40,"")</f>
        <v/>
      </c>
      <c r="AB40" s="12">
        <f>IF(T40=1,S40,"")</f>
        <v/>
      </c>
      <c r="AC40" s="12">
        <f>R40-R36</f>
        <v/>
      </c>
      <c r="AD40" s="12">
        <f>IF(X40=0,AC40,"")</f>
        <v/>
      </c>
      <c r="AE40" s="12">
        <f>IF(X40=1,AC40,"")</f>
        <v/>
      </c>
      <c r="AF40" s="12">
        <f>H40-H36</f>
        <v/>
      </c>
    </row>
    <row r="42" ht="44" customHeight="1">
      <c r="A42" s="2" t="inlineStr">
        <is>
          <t>Колонки T–AE — режимное разделение по Г36: σ приращений CoR в феврале-марте впятеро выше, чем в остальные месяцы (5,04 по КБ/ПБ и 4,86 по МСБ против ≤ 1,76 у остальных десяти метрик). Отсюда эмпирические квантили считаются раздельно, и лист «Метрики» берёт границы зон отсюда. 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  <row r="44" ht="32" customHeight="1">
      <c r="A44" s="2" t="inlineStr">
        <is>
          <t>Уровень не ограничивал показатель 8 лет 6 месяцев: шесть эпизодов превышения относительно уровня, действовавшего на дату.</t>
        </is>
      </c>
    </row>
  </sheetData>
  <mergeCells count="3">
    <mergeCell ref="A42:AE42"/>
    <mergeCell ref="A44:G44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7" t="inlineStr">
        <is>
          <t>Параметр</t>
        </is>
      </c>
      <c r="B4" s="17" t="inlineStr">
        <is>
          <t>Обозначение</t>
        </is>
      </c>
      <c r="C4" s="17" t="inlineStr">
        <is>
          <t>Значение</t>
        </is>
      </c>
      <c r="D4" s="17" t="inlineStr">
        <is>
          <t>Формула</t>
        </is>
      </c>
      <c r="E4" s="17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9" t="inlineStr">
        <is>
          <t>p</t>
        </is>
      </c>
      <c r="C5" s="18" t="n">
        <v>0.9</v>
      </c>
      <c r="D5" s="19" t="inlineStr">
        <is>
          <t>ввод</t>
        </is>
      </c>
      <c r="E5" s="20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9" t="inlineStr">
        <is>
          <t>z(p)</t>
        </is>
      </c>
      <c r="C6" s="21">
        <f>NORMSINV(C5)</f>
        <v/>
      </c>
      <c r="D6" s="19" t="inlineStr">
        <is>
          <t>NORMSINV(p)</t>
        </is>
      </c>
      <c r="E6" s="20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9" t="inlineStr">
        <is>
          <t>k (Г26)</t>
        </is>
      </c>
      <c r="C7" s="22">
        <f>Ряд!D34/Ряд!C34</f>
        <v/>
      </c>
      <c r="D7" s="19" t="inlineStr">
        <is>
          <t>Ряд!D34/Ряд!C34</t>
        </is>
      </c>
      <c r="E7" s="20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9" t="inlineStr">
        <is>
          <t>L_рег</t>
        </is>
      </c>
      <c r="C8" s="18" t="n">
        <v>95</v>
      </c>
      <c r="D8" s="19" t="inlineStr">
        <is>
          <t>ввод</t>
        </is>
      </c>
      <c r="E8" s="20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9" t="inlineStr">
        <is>
          <t>T</t>
        </is>
      </c>
      <c r="C9" s="23" t="n">
        <v>3</v>
      </c>
      <c r="D9" s="19" t="inlineStr">
        <is>
          <t>ввод</t>
        </is>
      </c>
      <c r="E9" s="20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9" t="inlineStr">
        <is>
          <t>порог ΔСК</t>
        </is>
      </c>
      <c r="C10" s="24" t="n">
        <v>-3</v>
      </c>
      <c r="D10" s="19" t="inlineStr">
        <is>
          <t>ввод</t>
        </is>
      </c>
      <c r="E10" s="20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9" t="inlineStr">
        <is>
          <t>порог ΔЗайм</t>
        </is>
      </c>
      <c r="C11" s="24" t="n">
        <v>5</v>
      </c>
      <c r="D11" s="19" t="inlineStr">
        <is>
          <t>ввод</t>
        </is>
      </c>
      <c r="E11" s="20" t="inlineStr">
        <is>
          <t>Месячный рост задолженности топ-20, при котором наблюдение ускоряется</t>
        </is>
      </c>
    </row>
    <row r="12" ht="34" customHeight="1">
      <c r="A12" s="4" t="inlineStr">
        <is>
          <t>Уровень значимости проверки</t>
        </is>
      </c>
      <c r="B12" s="9" t="inlineStr">
        <is>
          <t>α</t>
        </is>
      </c>
      <c r="C12" s="18" t="n">
        <v>0.05</v>
      </c>
      <c r="D12" s="19" t="inlineStr">
        <is>
          <t>ввод</t>
        </is>
      </c>
      <c r="E12" s="20" t="inlineStr">
        <is>
          <t>Порог p-значения, ниже которого нормальность отвергается. 0,05 — обычай, а не норма: при α = 0,10 отсеялось бы больше метрик, при 0,01 — меньше. Проверка включена в расчёт с 15.09.2026 и определяет, каким методом размечается каждая метрика (развилка на листе «Как защищать»)</t>
        </is>
      </c>
    </row>
    <row r="13" ht="34" customHeight="1">
      <c r="A13" s="4" t="inlineStr">
        <is>
          <t>Критическое A² Андерсона</t>
        </is>
      </c>
      <c r="B13" s="9" t="inlineStr">
        <is>
          <t>A²_крит</t>
        </is>
      </c>
      <c r="C13" s="25" t="n">
        <v>0.752</v>
      </c>
      <c r="D13" s="19" t="inlineStr">
        <is>
          <t>ввод</t>
        </is>
      </c>
      <c r="E13" s="20" t="inlineStr">
        <is>
          <t>Критическое значение статистики Андерсона-Дарлинга при α = 0,05 для неизвестных среднего и дисперсии. Таблица Стефенса (1974). В Excel сама статистика не считается — нужна сортировка ряда; внесена константой</t>
        </is>
      </c>
    </row>
    <row r="14" ht="34" customHeight="1">
      <c r="A14" s="4" t="inlineStr">
        <is>
          <t>Порог решающей проверки</t>
        </is>
      </c>
      <c r="B14" s="9" t="inlineStr">
        <is>
          <t>τ</t>
        </is>
      </c>
      <c r="C14" s="18" t="n">
        <v>0.25</v>
      </c>
      <c r="D14" s="19" t="inlineStr">
        <is>
          <t>ввод</t>
        </is>
      </c>
      <c r="E14" s="20" t="inlineStr">
        <is>
          <t>Допустимое расхождение модельного квантиля z·σ·√T с фактическим. 0,25 — удвоенная собственная погрешность σ на 36 точках (±12 %): внутри этого коридора расхождение неразличимо от шума оценки самой σ. Формальная нормальность НЕ решает — решает эта величина</t>
        </is>
      </c>
    </row>
    <row r="16" ht="58" customHeight="1">
      <c r="A16" s="26" t="inlineStr">
        <is>
          <t>Из десяти параметров вычисляются два: z из p и k из ряда. Остальные восемь — чьи-то решения, и у каждого должен быть автор. У L_рег он есть (Приложение № 3), у α и A²_крит — статистический обычай и таблица Стефенса; у T, τ и двух порогов триггеров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2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2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</cols>
  <sheetData>
    <row r="1">
      <c r="A1" s="1" t="inlineStr">
        <is>
          <t>Месячный ряд розничных метрик: 36 точек, 01.08.2023 — 01.07.2026</t>
        </is>
      </c>
    </row>
    <row r="2" ht="46" customHeight="1">
      <c r="A2" s="2" t="inlineStr">
        <is>
          <t>Колонки 4м1…4м32 — изменения за четыре месяца: вход эмпирического квантиля и триггера T2. Источник: лист Monthly книги Приложения № 3 к Политике, получен 04.09.2026. Значения в процентах — в исходном листе они долями. Сверено с квартальной формой № 50 на 01.07.2026: максимальное расхождение 0,0009 пп. ОГОВОРКА (DECOMPOSITION § 10.2): из 36 месяцев с отчётностью сверены 20, первые 16 — реконструкция, величин уполномоченный орган не видел.</t>
        </is>
      </c>
    </row>
    <row r="4" ht="30" customHeight="1">
      <c r="A4" s="17" t="inlineStr">
        <is>
          <t>Метрика</t>
        </is>
      </c>
      <c r="B4" s="17" t="inlineStr">
        <is>
          <t>Сегмент</t>
        </is>
      </c>
      <c r="C4" s="17" t="inlineStr">
        <is>
          <t>Лимит L</t>
        </is>
      </c>
      <c r="D4" s="8" t="inlineStr">
        <is>
          <t>2023-08</t>
        </is>
      </c>
      <c r="E4" s="8" t="inlineStr">
        <is>
          <t>2023-09</t>
        </is>
      </c>
      <c r="F4" s="8" t="inlineStr">
        <is>
          <t>2023-10</t>
        </is>
      </c>
      <c r="G4" s="8" t="inlineStr">
        <is>
          <t>2023-11</t>
        </is>
      </c>
      <c r="H4" s="8" t="inlineStr">
        <is>
          <t>2023-12</t>
        </is>
      </c>
      <c r="I4" s="8" t="inlineStr">
        <is>
          <t>2024-01</t>
        </is>
      </c>
      <c r="J4" s="8" t="inlineStr">
        <is>
          <t>2024-02</t>
        </is>
      </c>
      <c r="K4" s="8" t="inlineStr">
        <is>
          <t>2024-03</t>
        </is>
      </c>
      <c r="L4" s="8" t="inlineStr">
        <is>
          <t>2024-04</t>
        </is>
      </c>
      <c r="M4" s="8" t="inlineStr">
        <is>
          <t>2024-05</t>
        </is>
      </c>
      <c r="N4" s="8" t="inlineStr">
        <is>
          <t>2024-06</t>
        </is>
      </c>
      <c r="O4" s="8" t="inlineStr">
        <is>
          <t>2024-07</t>
        </is>
      </c>
      <c r="P4" s="8" t="inlineStr">
        <is>
          <t>2024-08</t>
        </is>
      </c>
      <c r="Q4" s="8" t="inlineStr">
        <is>
          <t>2024-09</t>
        </is>
      </c>
      <c r="R4" s="8" t="inlineStr">
        <is>
          <t>2024-10</t>
        </is>
      </c>
      <c r="S4" s="8" t="inlineStr">
        <is>
          <t>2024-11</t>
        </is>
      </c>
      <c r="T4" s="8" t="inlineStr">
        <is>
          <t>2024-12</t>
        </is>
      </c>
      <c r="U4" s="8" t="inlineStr">
        <is>
          <t>2025-01</t>
        </is>
      </c>
      <c r="V4" s="8" t="inlineStr">
        <is>
          <t>2025-02</t>
        </is>
      </c>
      <c r="W4" s="8" t="inlineStr">
        <is>
          <t>2025-03</t>
        </is>
      </c>
      <c r="X4" s="8" t="inlineStr">
        <is>
          <t>2025-04</t>
        </is>
      </c>
      <c r="Y4" s="8" t="inlineStr">
        <is>
          <t>2025-05</t>
        </is>
      </c>
      <c r="Z4" s="8" t="inlineStr">
        <is>
          <t>2025-06</t>
        </is>
      </c>
      <c r="AA4" s="8" t="inlineStr">
        <is>
          <t>2025-07</t>
        </is>
      </c>
      <c r="AB4" s="8" t="inlineStr">
        <is>
          <t>2025-08</t>
        </is>
      </c>
      <c r="AC4" s="8" t="inlineStr">
        <is>
          <t>2025-09</t>
        </is>
      </c>
      <c r="AD4" s="8" t="inlineStr">
        <is>
          <t>2025-10</t>
        </is>
      </c>
      <c r="AE4" s="8" t="inlineStr">
        <is>
          <t>2025-11</t>
        </is>
      </c>
      <c r="AF4" s="8" t="inlineStr">
        <is>
          <t>2025-12</t>
        </is>
      </c>
      <c r="AG4" s="8" t="inlineStr">
        <is>
          <t>2026-01</t>
        </is>
      </c>
      <c r="AH4" s="8" t="inlineStr">
        <is>
          <t>2026-02</t>
        </is>
      </c>
      <c r="AI4" s="8" t="inlineStr">
        <is>
          <t>2026-03</t>
        </is>
      </c>
      <c r="AJ4" s="8" t="inlineStr">
        <is>
          <t>2026-04</t>
        </is>
      </c>
      <c r="AK4" s="8" t="inlineStr">
        <is>
          <t>2026-05</t>
        </is>
      </c>
      <c r="AL4" s="8" t="inlineStr">
        <is>
          <t>2026-06</t>
        </is>
      </c>
      <c r="AM4" s="8" t="inlineStr">
        <is>
          <t>2026-07</t>
        </is>
      </c>
      <c r="AN4" s="27" t="inlineStr">
        <is>
          <t xml:space="preserve"> </t>
        </is>
      </c>
      <c r="AO4" s="17" t="inlineStr">
        <is>
          <t>Δ1</t>
        </is>
      </c>
      <c r="AP4" s="17" t="inlineStr">
        <is>
          <t>Δ2</t>
        </is>
      </c>
      <c r="AQ4" s="17" t="inlineStr">
        <is>
          <t>Δ3</t>
        </is>
      </c>
      <c r="AR4" s="17" t="inlineStr">
        <is>
          <t>Δ4</t>
        </is>
      </c>
      <c r="AS4" s="17" t="inlineStr">
        <is>
          <t>Δ5</t>
        </is>
      </c>
      <c r="AT4" s="17" t="inlineStr">
        <is>
          <t>Δ6</t>
        </is>
      </c>
      <c r="AU4" s="17" t="inlineStr">
        <is>
          <t>Δ7</t>
        </is>
      </c>
      <c r="AV4" s="17" t="inlineStr">
        <is>
          <t>Δ8</t>
        </is>
      </c>
      <c r="AW4" s="17" t="inlineStr">
        <is>
          <t>Δ9</t>
        </is>
      </c>
      <c r="AX4" s="17" t="inlineStr">
        <is>
          <t>Δ10</t>
        </is>
      </c>
      <c r="AY4" s="17" t="inlineStr">
        <is>
          <t>Δ11</t>
        </is>
      </c>
      <c r="AZ4" s="17" t="inlineStr">
        <is>
          <t>Δ12</t>
        </is>
      </c>
      <c r="BA4" s="17" t="inlineStr">
        <is>
          <t>Δ13</t>
        </is>
      </c>
      <c r="BB4" s="17" t="inlineStr">
        <is>
          <t>Δ14</t>
        </is>
      </c>
      <c r="BC4" s="17" t="inlineStr">
        <is>
          <t>Δ15</t>
        </is>
      </c>
      <c r="BD4" s="17" t="inlineStr">
        <is>
          <t>Δ16</t>
        </is>
      </c>
      <c r="BE4" s="17" t="inlineStr">
        <is>
          <t>Δ17</t>
        </is>
      </c>
      <c r="BF4" s="17" t="inlineStr">
        <is>
          <t>Δ18</t>
        </is>
      </c>
      <c r="BG4" s="17" t="inlineStr">
        <is>
          <t>Δ19</t>
        </is>
      </c>
      <c r="BH4" s="17" t="inlineStr">
        <is>
          <t>Δ20</t>
        </is>
      </c>
      <c r="BI4" s="17" t="inlineStr">
        <is>
          <t>Δ21</t>
        </is>
      </c>
      <c r="BJ4" s="17" t="inlineStr">
        <is>
          <t>Δ22</t>
        </is>
      </c>
      <c r="BK4" s="17" t="inlineStr">
        <is>
          <t>Δ23</t>
        </is>
      </c>
      <c r="BL4" s="17" t="inlineStr">
        <is>
          <t>Δ24</t>
        </is>
      </c>
      <c r="BM4" s="17" t="inlineStr">
        <is>
          <t>Δ25</t>
        </is>
      </c>
      <c r="BN4" s="17" t="inlineStr">
        <is>
          <t>Δ26</t>
        </is>
      </c>
      <c r="BO4" s="17" t="inlineStr">
        <is>
          <t>Δ27</t>
        </is>
      </c>
      <c r="BP4" s="17" t="inlineStr">
        <is>
          <t>Δ28</t>
        </is>
      </c>
      <c r="BQ4" s="17" t="inlineStr">
        <is>
          <t>Δ29</t>
        </is>
      </c>
      <c r="BR4" s="17" t="inlineStr">
        <is>
          <t>Δ30</t>
        </is>
      </c>
      <c r="BS4" s="17" t="inlineStr">
        <is>
          <t>Δ31</t>
        </is>
      </c>
      <c r="BT4" s="17" t="inlineStr">
        <is>
          <t>Δ32</t>
        </is>
      </c>
      <c r="BU4" s="17" t="inlineStr">
        <is>
          <t>Δ33</t>
        </is>
      </c>
      <c r="BV4" s="17" t="inlineStr">
        <is>
          <t>Δ34</t>
        </is>
      </c>
      <c r="BW4" s="17" t="inlineStr">
        <is>
          <t>Δ35</t>
        </is>
      </c>
      <c r="BX4" s="27" t="inlineStr">
        <is>
          <t xml:space="preserve"> </t>
        </is>
      </c>
      <c r="BY4" s="17" t="inlineStr">
        <is>
          <t>4м1</t>
        </is>
      </c>
      <c r="BZ4" s="17" t="inlineStr">
        <is>
          <t>4м2</t>
        </is>
      </c>
      <c r="CA4" s="17" t="inlineStr">
        <is>
          <t>4м3</t>
        </is>
      </c>
      <c r="CB4" s="17" t="inlineStr">
        <is>
          <t>4м4</t>
        </is>
      </c>
      <c r="CC4" s="17" t="inlineStr">
        <is>
          <t>4м5</t>
        </is>
      </c>
      <c r="CD4" s="17" t="inlineStr">
        <is>
          <t>4м6</t>
        </is>
      </c>
      <c r="CE4" s="17" t="inlineStr">
        <is>
          <t>4м7</t>
        </is>
      </c>
      <c r="CF4" s="17" t="inlineStr">
        <is>
          <t>4м8</t>
        </is>
      </c>
      <c r="CG4" s="17" t="inlineStr">
        <is>
          <t>4м9</t>
        </is>
      </c>
      <c r="CH4" s="17" t="inlineStr">
        <is>
          <t>4м10</t>
        </is>
      </c>
      <c r="CI4" s="17" t="inlineStr">
        <is>
          <t>4м11</t>
        </is>
      </c>
      <c r="CJ4" s="17" t="inlineStr">
        <is>
          <t>4м12</t>
        </is>
      </c>
      <c r="CK4" s="17" t="inlineStr">
        <is>
          <t>4м13</t>
        </is>
      </c>
      <c r="CL4" s="17" t="inlineStr">
        <is>
          <t>4м14</t>
        </is>
      </c>
      <c r="CM4" s="17" t="inlineStr">
        <is>
          <t>4м15</t>
        </is>
      </c>
      <c r="CN4" s="17" t="inlineStr">
        <is>
          <t>4м16</t>
        </is>
      </c>
      <c r="CO4" s="17" t="inlineStr">
        <is>
          <t>4м17</t>
        </is>
      </c>
      <c r="CP4" s="17" t="inlineStr">
        <is>
          <t>4м18</t>
        </is>
      </c>
      <c r="CQ4" s="17" t="inlineStr">
        <is>
          <t>4м19</t>
        </is>
      </c>
      <c r="CR4" s="17" t="inlineStr">
        <is>
          <t>4м20</t>
        </is>
      </c>
      <c r="CS4" s="17" t="inlineStr">
        <is>
          <t>4м21</t>
        </is>
      </c>
      <c r="CT4" s="17" t="inlineStr">
        <is>
          <t>4м22</t>
        </is>
      </c>
      <c r="CU4" s="17" t="inlineStr">
        <is>
          <t>4м23</t>
        </is>
      </c>
      <c r="CV4" s="17" t="inlineStr">
        <is>
          <t>4м24</t>
        </is>
      </c>
      <c r="CW4" s="17" t="inlineStr">
        <is>
          <t>4м25</t>
        </is>
      </c>
      <c r="CX4" s="17" t="inlineStr">
        <is>
          <t>4м26</t>
        </is>
      </c>
      <c r="CY4" s="17" t="inlineStr">
        <is>
          <t>4м27</t>
        </is>
      </c>
      <c r="CZ4" s="17" t="inlineStr">
        <is>
          <t>4м28</t>
        </is>
      </c>
      <c r="DA4" s="17" t="inlineStr">
        <is>
          <t>4м29</t>
        </is>
      </c>
      <c r="DB4" s="17" t="inlineStr">
        <is>
          <t>4м30</t>
        </is>
      </c>
      <c r="DC4" s="17" t="inlineStr">
        <is>
          <t>4м31</t>
        </is>
      </c>
      <c r="DD4" s="17" t="inlineStr">
        <is>
          <t>4м32</t>
        </is>
      </c>
    </row>
    <row r="5">
      <c r="A5" s="4" t="inlineStr">
        <is>
          <t>EL — ожидаемые потери, всего</t>
        </is>
      </c>
      <c r="B5" s="16" t="inlineStr">
        <is>
          <t>RB</t>
        </is>
      </c>
      <c r="C5" s="15" t="n">
        <v>9</v>
      </c>
      <c r="D5" s="12" t="n">
        <v>4.01893</v>
      </c>
      <c r="E5" s="12" t="n">
        <v>4.006073</v>
      </c>
      <c r="F5" s="12" t="n">
        <v>3.918858</v>
      </c>
      <c r="G5" s="12" t="n">
        <v>3.916775</v>
      </c>
      <c r="H5" s="12" t="n">
        <v>3.902911</v>
      </c>
      <c r="I5" s="12" t="n">
        <v>3.860625</v>
      </c>
      <c r="J5" s="12" t="n">
        <v>3.783252</v>
      </c>
      <c r="K5" s="12" t="n">
        <v>3.753594</v>
      </c>
      <c r="L5" s="12" t="n">
        <v>3.705587</v>
      </c>
      <c r="M5" s="12" t="n">
        <v>3.746765</v>
      </c>
      <c r="N5" s="12" t="n">
        <v>3.861943</v>
      </c>
      <c r="O5" s="12" t="n">
        <v>3.763018</v>
      </c>
      <c r="P5" s="12" t="n">
        <v>3.619708</v>
      </c>
      <c r="Q5" s="12" t="n">
        <v>3.587173</v>
      </c>
      <c r="R5" s="12" t="n">
        <v>3.411962</v>
      </c>
      <c r="S5" s="12" t="n">
        <v>3.067174</v>
      </c>
      <c r="T5" s="12" t="n">
        <v>3.066544</v>
      </c>
      <c r="U5" s="12" t="n">
        <v>3.032757</v>
      </c>
      <c r="V5" s="12" t="n">
        <v>2.944715</v>
      </c>
      <c r="W5" s="12" t="n">
        <v>2.92572</v>
      </c>
      <c r="X5" s="12" t="n">
        <v>2.918222</v>
      </c>
      <c r="Y5" s="12" t="n">
        <v>2.896367</v>
      </c>
      <c r="Z5" s="12" t="n">
        <v>2.896783</v>
      </c>
      <c r="AA5" s="12" t="n">
        <v>2.784058</v>
      </c>
      <c r="AB5" s="12" t="n">
        <v>2.763943</v>
      </c>
      <c r="AC5" s="12" t="n">
        <v>2.682605</v>
      </c>
      <c r="AD5" s="12" t="n">
        <v>2.634274</v>
      </c>
      <c r="AE5" s="12" t="n">
        <v>2.58102</v>
      </c>
      <c r="AF5" s="12" t="n">
        <v>2.536831</v>
      </c>
      <c r="AG5" s="12" t="n">
        <v>2.615049</v>
      </c>
      <c r="AH5" s="12" t="n">
        <v>2.616212</v>
      </c>
      <c r="AI5" s="12" t="n">
        <v>2.671571</v>
      </c>
      <c r="AJ5" s="12" t="n">
        <v>2.713037</v>
      </c>
      <c r="AK5" s="12" t="n">
        <v>2.711398</v>
      </c>
      <c r="AL5" s="12" t="n">
        <v>2.718967</v>
      </c>
      <c r="AM5" s="12" t="n">
        <v>2.757284</v>
      </c>
      <c r="AO5" s="12">
        <f>E5-D5</f>
        <v/>
      </c>
      <c r="AP5" s="12">
        <f>F5-E5</f>
        <v/>
      </c>
      <c r="AQ5" s="12">
        <f>G5-F5</f>
        <v/>
      </c>
      <c r="AR5" s="12">
        <f>H5-G5</f>
        <v/>
      </c>
      <c r="AS5" s="12">
        <f>I5-H5</f>
        <v/>
      </c>
      <c r="AT5" s="12">
        <f>J5-I5</f>
        <v/>
      </c>
      <c r="AU5" s="12">
        <f>K5-J5</f>
        <v/>
      </c>
      <c r="AV5" s="12">
        <f>L5-K5</f>
        <v/>
      </c>
      <c r="AW5" s="12">
        <f>M5-L5</f>
        <v/>
      </c>
      <c r="AX5" s="12">
        <f>N5-M5</f>
        <v/>
      </c>
      <c r="AY5" s="12">
        <f>O5-N5</f>
        <v/>
      </c>
      <c r="AZ5" s="12">
        <f>P5-O5</f>
        <v/>
      </c>
      <c r="BA5" s="12">
        <f>Q5-P5</f>
        <v/>
      </c>
      <c r="BB5" s="12">
        <f>R5-Q5</f>
        <v/>
      </c>
      <c r="BC5" s="12">
        <f>S5-R5</f>
        <v/>
      </c>
      <c r="BD5" s="12">
        <f>T5-S5</f>
        <v/>
      </c>
      <c r="BE5" s="12">
        <f>U5-T5</f>
        <v/>
      </c>
      <c r="BF5" s="12">
        <f>V5-U5</f>
        <v/>
      </c>
      <c r="BG5" s="12">
        <f>W5-V5</f>
        <v/>
      </c>
      <c r="BH5" s="12">
        <f>X5-W5</f>
        <v/>
      </c>
      <c r="BI5" s="12">
        <f>Y5-X5</f>
        <v/>
      </c>
      <c r="BJ5" s="12">
        <f>Z5-Y5</f>
        <v/>
      </c>
      <c r="BK5" s="12">
        <f>AA5-Z5</f>
        <v/>
      </c>
      <c r="BL5" s="12">
        <f>AB5-AA5</f>
        <v/>
      </c>
      <c r="BM5" s="12">
        <f>AC5-AB5</f>
        <v/>
      </c>
      <c r="BN5" s="12">
        <f>AD5-AC5</f>
        <v/>
      </c>
      <c r="BO5" s="12">
        <f>AE5-AD5</f>
        <v/>
      </c>
      <c r="BP5" s="12">
        <f>AF5-AE5</f>
        <v/>
      </c>
      <c r="BQ5" s="12">
        <f>AG5-AF5</f>
        <v/>
      </c>
      <c r="BR5" s="12">
        <f>AH5-AG5</f>
        <v/>
      </c>
      <c r="BS5" s="12">
        <f>AI5-AH5</f>
        <v/>
      </c>
      <c r="BT5" s="12">
        <f>AJ5-AI5</f>
        <v/>
      </c>
      <c r="BU5" s="12">
        <f>AK5-AJ5</f>
        <v/>
      </c>
      <c r="BV5" s="12">
        <f>AL5-AK5</f>
        <v/>
      </c>
      <c r="BW5" s="12">
        <f>AM5-AL5</f>
        <v/>
      </c>
      <c r="BY5" s="12">
        <f>H5-D5</f>
        <v/>
      </c>
      <c r="BZ5" s="12">
        <f>I5-E5</f>
        <v/>
      </c>
      <c r="CA5" s="12">
        <f>J5-F5</f>
        <v/>
      </c>
      <c r="CB5" s="12">
        <f>K5-G5</f>
        <v/>
      </c>
      <c r="CC5" s="12">
        <f>L5-H5</f>
        <v/>
      </c>
      <c r="CD5" s="12">
        <f>M5-I5</f>
        <v/>
      </c>
      <c r="CE5" s="12">
        <f>N5-J5</f>
        <v/>
      </c>
      <c r="CF5" s="12">
        <f>O5-K5</f>
        <v/>
      </c>
      <c r="CG5" s="12">
        <f>P5-L5</f>
        <v/>
      </c>
      <c r="CH5" s="12">
        <f>Q5-M5</f>
        <v/>
      </c>
      <c r="CI5" s="12">
        <f>R5-N5</f>
        <v/>
      </c>
      <c r="CJ5" s="12">
        <f>S5-O5</f>
        <v/>
      </c>
      <c r="CK5" s="12">
        <f>T5-P5</f>
        <v/>
      </c>
      <c r="CL5" s="12">
        <f>U5-Q5</f>
        <v/>
      </c>
      <c r="CM5" s="12">
        <f>V5-R5</f>
        <v/>
      </c>
      <c r="CN5" s="12">
        <f>W5-S5</f>
        <v/>
      </c>
      <c r="CO5" s="12">
        <f>X5-T5</f>
        <v/>
      </c>
      <c r="CP5" s="12">
        <f>Y5-U5</f>
        <v/>
      </c>
      <c r="CQ5" s="12">
        <f>Z5-V5</f>
        <v/>
      </c>
      <c r="CR5" s="12">
        <f>AA5-W5</f>
        <v/>
      </c>
      <c r="CS5" s="12">
        <f>AB5-X5</f>
        <v/>
      </c>
      <c r="CT5" s="12">
        <f>AC5-Y5</f>
        <v/>
      </c>
      <c r="CU5" s="12">
        <f>AD5-Z5</f>
        <v/>
      </c>
      <c r="CV5" s="12">
        <f>AE5-AA5</f>
        <v/>
      </c>
      <c r="CW5" s="12">
        <f>AF5-AB5</f>
        <v/>
      </c>
      <c r="CX5" s="12">
        <f>AG5-AC5</f>
        <v/>
      </c>
      <c r="CY5" s="12">
        <f>AH5-AD5</f>
        <v/>
      </c>
      <c r="CZ5" s="12">
        <f>AI5-AE5</f>
        <v/>
      </c>
      <c r="DA5" s="12">
        <f>AJ5-AF5</f>
        <v/>
      </c>
      <c r="DB5" s="12">
        <f>AK5-AG5</f>
        <v/>
      </c>
      <c r="DC5" s="12">
        <f>AL5-AH5</f>
        <v/>
      </c>
      <c r="DD5" s="12">
        <f>AM5-AI5</f>
        <v/>
      </c>
    </row>
    <row r="6">
      <c r="A6" s="4" t="inlineStr">
        <is>
          <t>EL — необеспеченные</t>
        </is>
      </c>
      <c r="B6" s="16" t="inlineStr">
        <is>
          <t>RB</t>
        </is>
      </c>
      <c r="C6" s="15" t="n">
        <v>10</v>
      </c>
      <c r="D6" s="12" t="n">
        <v>7.423354</v>
      </c>
      <c r="E6" s="12" t="n">
        <v>7.500904</v>
      </c>
      <c r="F6" s="12" t="n">
        <v>7.404206</v>
      </c>
      <c r="G6" s="12" t="n">
        <v>7.442255</v>
      </c>
      <c r="H6" s="12" t="n">
        <v>7.630703</v>
      </c>
      <c r="I6" s="12" t="n">
        <v>7.607814</v>
      </c>
      <c r="J6" s="12" t="n">
        <v>7.565199</v>
      </c>
      <c r="K6" s="12" t="n">
        <v>7.556539</v>
      </c>
      <c r="L6" s="12" t="n">
        <v>7.545619</v>
      </c>
      <c r="M6" s="12" t="n">
        <v>7.541218</v>
      </c>
      <c r="N6" s="12" t="n">
        <v>7.699862</v>
      </c>
      <c r="O6" s="12" t="n">
        <v>7.656452</v>
      </c>
      <c r="P6" s="12" t="n">
        <v>7.489877</v>
      </c>
      <c r="Q6" s="12" t="n">
        <v>7.385384</v>
      </c>
      <c r="R6" s="12" t="n">
        <v>7.223349</v>
      </c>
      <c r="S6" s="12" t="n">
        <v>6.880542</v>
      </c>
      <c r="T6" s="12" t="n">
        <v>7.034851</v>
      </c>
      <c r="U6" s="12" t="n">
        <v>7.219599</v>
      </c>
      <c r="V6" s="12" t="n">
        <v>7.049311</v>
      </c>
      <c r="W6" s="12" t="n">
        <v>7.13935</v>
      </c>
      <c r="X6" s="12" t="n">
        <v>7.081359</v>
      </c>
      <c r="Y6" s="12" t="n">
        <v>7.078887</v>
      </c>
      <c r="Z6" s="12" t="n">
        <v>7.126308</v>
      </c>
      <c r="AA6" s="12" t="n">
        <v>7.074532</v>
      </c>
      <c r="AB6" s="12" t="n">
        <v>7.164825</v>
      </c>
      <c r="AC6" s="12" t="n">
        <v>7.147442</v>
      </c>
      <c r="AD6" s="12" t="n">
        <v>7.099976</v>
      </c>
      <c r="AE6" s="12" t="n">
        <v>7.092606</v>
      </c>
      <c r="AF6" s="12" t="n">
        <v>7.069679</v>
      </c>
      <c r="AG6" s="12" t="n">
        <v>7.031319</v>
      </c>
      <c r="AH6" s="12" t="n">
        <v>7.029701</v>
      </c>
      <c r="AI6" s="12" t="n">
        <v>7.028161</v>
      </c>
      <c r="AJ6" s="12" t="n">
        <v>7.011424</v>
      </c>
      <c r="AK6" s="12" t="n">
        <v>7.3706</v>
      </c>
      <c r="AL6" s="12" t="n">
        <v>7.377971</v>
      </c>
      <c r="AM6" s="12" t="n">
        <v>7.566672</v>
      </c>
      <c r="AO6" s="12">
        <f>E6-D6</f>
        <v/>
      </c>
      <c r="AP6" s="12">
        <f>F6-E6</f>
        <v/>
      </c>
      <c r="AQ6" s="12">
        <f>G6-F6</f>
        <v/>
      </c>
      <c r="AR6" s="12">
        <f>H6-G6</f>
        <v/>
      </c>
      <c r="AS6" s="12">
        <f>I6-H6</f>
        <v/>
      </c>
      <c r="AT6" s="12">
        <f>J6-I6</f>
        <v/>
      </c>
      <c r="AU6" s="12">
        <f>K6-J6</f>
        <v/>
      </c>
      <c r="AV6" s="12">
        <f>L6-K6</f>
        <v/>
      </c>
      <c r="AW6" s="12">
        <f>M6-L6</f>
        <v/>
      </c>
      <c r="AX6" s="12">
        <f>N6-M6</f>
        <v/>
      </c>
      <c r="AY6" s="12">
        <f>O6-N6</f>
        <v/>
      </c>
      <c r="AZ6" s="12">
        <f>P6-O6</f>
        <v/>
      </c>
      <c r="BA6" s="12">
        <f>Q6-P6</f>
        <v/>
      </c>
      <c r="BB6" s="12">
        <f>R6-Q6</f>
        <v/>
      </c>
      <c r="BC6" s="12">
        <f>S6-R6</f>
        <v/>
      </c>
      <c r="BD6" s="12">
        <f>T6-S6</f>
        <v/>
      </c>
      <c r="BE6" s="12">
        <f>U6-T6</f>
        <v/>
      </c>
      <c r="BF6" s="12">
        <f>V6-U6</f>
        <v/>
      </c>
      <c r="BG6" s="12">
        <f>W6-V6</f>
        <v/>
      </c>
      <c r="BH6" s="12">
        <f>X6-W6</f>
        <v/>
      </c>
      <c r="BI6" s="12">
        <f>Y6-X6</f>
        <v/>
      </c>
      <c r="BJ6" s="12">
        <f>Z6-Y6</f>
        <v/>
      </c>
      <c r="BK6" s="12">
        <f>AA6-Z6</f>
        <v/>
      </c>
      <c r="BL6" s="12">
        <f>AB6-AA6</f>
        <v/>
      </c>
      <c r="BM6" s="12">
        <f>AC6-AB6</f>
        <v/>
      </c>
      <c r="BN6" s="12">
        <f>AD6-AC6</f>
        <v/>
      </c>
      <c r="BO6" s="12">
        <f>AE6-AD6</f>
        <v/>
      </c>
      <c r="BP6" s="12">
        <f>AF6-AE6</f>
        <v/>
      </c>
      <c r="BQ6" s="12">
        <f>AG6-AF6</f>
        <v/>
      </c>
      <c r="BR6" s="12">
        <f>AH6-AG6</f>
        <v/>
      </c>
      <c r="BS6" s="12">
        <f>AI6-AH6</f>
        <v/>
      </c>
      <c r="BT6" s="12">
        <f>AJ6-AI6</f>
        <v/>
      </c>
      <c r="BU6" s="12">
        <f>AK6-AJ6</f>
        <v/>
      </c>
      <c r="BV6" s="12">
        <f>AL6-AK6</f>
        <v/>
      </c>
      <c r="BW6" s="12">
        <f>AM6-AL6</f>
        <v/>
      </c>
      <c r="BY6" s="12">
        <f>H6-D6</f>
        <v/>
      </c>
      <c r="BZ6" s="12">
        <f>I6-E6</f>
        <v/>
      </c>
      <c r="CA6" s="12">
        <f>J6-F6</f>
        <v/>
      </c>
      <c r="CB6" s="12">
        <f>K6-G6</f>
        <v/>
      </c>
      <c r="CC6" s="12">
        <f>L6-H6</f>
        <v/>
      </c>
      <c r="CD6" s="12">
        <f>M6-I6</f>
        <v/>
      </c>
      <c r="CE6" s="12">
        <f>N6-J6</f>
        <v/>
      </c>
      <c r="CF6" s="12">
        <f>O6-K6</f>
        <v/>
      </c>
      <c r="CG6" s="12">
        <f>P6-L6</f>
        <v/>
      </c>
      <c r="CH6" s="12">
        <f>Q6-M6</f>
        <v/>
      </c>
      <c r="CI6" s="12">
        <f>R6-N6</f>
        <v/>
      </c>
      <c r="CJ6" s="12">
        <f>S6-O6</f>
        <v/>
      </c>
      <c r="CK6" s="12">
        <f>T6-P6</f>
        <v/>
      </c>
      <c r="CL6" s="12">
        <f>U6-Q6</f>
        <v/>
      </c>
      <c r="CM6" s="12">
        <f>V6-R6</f>
        <v/>
      </c>
      <c r="CN6" s="12">
        <f>W6-S6</f>
        <v/>
      </c>
      <c r="CO6" s="12">
        <f>X6-T6</f>
        <v/>
      </c>
      <c r="CP6" s="12">
        <f>Y6-U6</f>
        <v/>
      </c>
      <c r="CQ6" s="12">
        <f>Z6-V6</f>
        <v/>
      </c>
      <c r="CR6" s="12">
        <f>AA6-W6</f>
        <v/>
      </c>
      <c r="CS6" s="12">
        <f>AB6-X6</f>
        <v/>
      </c>
      <c r="CT6" s="12">
        <f>AC6-Y6</f>
        <v/>
      </c>
      <c r="CU6" s="12">
        <f>AD6-Z6</f>
        <v/>
      </c>
      <c r="CV6" s="12">
        <f>AE6-AA6</f>
        <v/>
      </c>
      <c r="CW6" s="12">
        <f>AF6-AB6</f>
        <v/>
      </c>
      <c r="CX6" s="12">
        <f>AG6-AC6</f>
        <v/>
      </c>
      <c r="CY6" s="12">
        <f>AH6-AD6</f>
        <v/>
      </c>
      <c r="CZ6" s="12">
        <f>AI6-AE6</f>
        <v/>
      </c>
      <c r="DA6" s="12">
        <f>AJ6-AF6</f>
        <v/>
      </c>
      <c r="DB6" s="12">
        <f>AK6-AG6</f>
        <v/>
      </c>
      <c r="DC6" s="12">
        <f>AL6-AH6</f>
        <v/>
      </c>
      <c r="DD6" s="12">
        <f>AM6-AI6</f>
        <v/>
      </c>
    </row>
    <row r="7">
      <c r="A7" s="4" t="inlineStr">
        <is>
          <t>EL — обеспеченные</t>
        </is>
      </c>
      <c r="B7" s="16" t="inlineStr">
        <is>
          <t>RB</t>
        </is>
      </c>
      <c r="C7" s="15" t="n">
        <v>7</v>
      </c>
      <c r="D7" s="12" t="n">
        <v>1.334152</v>
      </c>
      <c r="E7" s="12" t="n">
        <v>1.334097</v>
      </c>
      <c r="F7" s="12" t="n">
        <v>1.324876</v>
      </c>
      <c r="G7" s="12" t="n">
        <v>1.363572</v>
      </c>
      <c r="H7" s="12" t="n">
        <v>1.347993</v>
      </c>
      <c r="I7" s="12" t="n">
        <v>1.424419</v>
      </c>
      <c r="J7" s="12" t="n">
        <v>1.395834</v>
      </c>
      <c r="K7" s="12" t="n">
        <v>1.412628</v>
      </c>
      <c r="L7" s="12" t="n">
        <v>1.416922</v>
      </c>
      <c r="M7" s="12" t="n">
        <v>1.481267</v>
      </c>
      <c r="N7" s="12" t="n">
        <v>1.570876</v>
      </c>
      <c r="O7" s="12" t="n">
        <v>1.497854</v>
      </c>
      <c r="P7" s="12" t="n">
        <v>1.435108</v>
      </c>
      <c r="Q7" s="12" t="n">
        <v>1.443728</v>
      </c>
      <c r="R7" s="12" t="n">
        <v>1.338809</v>
      </c>
      <c r="S7" s="12" t="n">
        <v>1.235632</v>
      </c>
      <c r="T7" s="12" t="n">
        <v>1.311974</v>
      </c>
      <c r="U7" s="12" t="n">
        <v>1.327887</v>
      </c>
      <c r="V7" s="12" t="n">
        <v>1.315344</v>
      </c>
      <c r="W7" s="12" t="n">
        <v>1.32047</v>
      </c>
      <c r="X7" s="12" t="n">
        <v>1.365542</v>
      </c>
      <c r="Y7" s="12" t="n">
        <v>1.381124</v>
      </c>
      <c r="Z7" s="12" t="n">
        <v>1.397907</v>
      </c>
      <c r="AA7" s="12" t="n">
        <v>1.370362</v>
      </c>
      <c r="AB7" s="12" t="n">
        <v>1.3795</v>
      </c>
      <c r="AC7" s="12" t="n">
        <v>1.349421</v>
      </c>
      <c r="AD7" s="12" t="n">
        <v>1.348437</v>
      </c>
      <c r="AE7" s="12" t="n">
        <v>1.322858</v>
      </c>
      <c r="AF7" s="12" t="n">
        <v>1.308495</v>
      </c>
      <c r="AG7" s="12" t="n">
        <v>1.427522</v>
      </c>
      <c r="AH7" s="12" t="n">
        <v>1.449854</v>
      </c>
      <c r="AI7" s="12" t="n">
        <v>1.528519</v>
      </c>
      <c r="AJ7" s="12" t="n">
        <v>1.589895</v>
      </c>
      <c r="AK7" s="12" t="n">
        <v>1.552727</v>
      </c>
      <c r="AL7" s="12" t="n">
        <v>1.606792</v>
      </c>
      <c r="AM7" s="12" t="n">
        <v>1.635852</v>
      </c>
      <c r="AO7" s="12">
        <f>E7-D7</f>
        <v/>
      </c>
      <c r="AP7" s="12">
        <f>F7-E7</f>
        <v/>
      </c>
      <c r="AQ7" s="12">
        <f>G7-F7</f>
        <v/>
      </c>
      <c r="AR7" s="12">
        <f>H7-G7</f>
        <v/>
      </c>
      <c r="AS7" s="12">
        <f>I7-H7</f>
        <v/>
      </c>
      <c r="AT7" s="12">
        <f>J7-I7</f>
        <v/>
      </c>
      <c r="AU7" s="12">
        <f>K7-J7</f>
        <v/>
      </c>
      <c r="AV7" s="12">
        <f>L7-K7</f>
        <v/>
      </c>
      <c r="AW7" s="12">
        <f>M7-L7</f>
        <v/>
      </c>
      <c r="AX7" s="12">
        <f>N7-M7</f>
        <v/>
      </c>
      <c r="AY7" s="12">
        <f>O7-N7</f>
        <v/>
      </c>
      <c r="AZ7" s="12">
        <f>P7-O7</f>
        <v/>
      </c>
      <c r="BA7" s="12">
        <f>Q7-P7</f>
        <v/>
      </c>
      <c r="BB7" s="12">
        <f>R7-Q7</f>
        <v/>
      </c>
      <c r="BC7" s="12">
        <f>S7-R7</f>
        <v/>
      </c>
      <c r="BD7" s="12">
        <f>T7-S7</f>
        <v/>
      </c>
      <c r="BE7" s="12">
        <f>U7-T7</f>
        <v/>
      </c>
      <c r="BF7" s="12">
        <f>V7-U7</f>
        <v/>
      </c>
      <c r="BG7" s="12">
        <f>W7-V7</f>
        <v/>
      </c>
      <c r="BH7" s="12">
        <f>X7-W7</f>
        <v/>
      </c>
      <c r="BI7" s="12">
        <f>Y7-X7</f>
        <v/>
      </c>
      <c r="BJ7" s="12">
        <f>Z7-Y7</f>
        <v/>
      </c>
      <c r="BK7" s="12">
        <f>AA7-Z7</f>
        <v/>
      </c>
      <c r="BL7" s="12">
        <f>AB7-AA7</f>
        <v/>
      </c>
      <c r="BM7" s="12">
        <f>AC7-AB7</f>
        <v/>
      </c>
      <c r="BN7" s="12">
        <f>AD7-AC7</f>
        <v/>
      </c>
      <c r="BO7" s="12">
        <f>AE7-AD7</f>
        <v/>
      </c>
      <c r="BP7" s="12">
        <f>AF7-AE7</f>
        <v/>
      </c>
      <c r="BQ7" s="12">
        <f>AG7-AF7</f>
        <v/>
      </c>
      <c r="BR7" s="12">
        <f>AH7-AG7</f>
        <v/>
      </c>
      <c r="BS7" s="12">
        <f>AI7-AH7</f>
        <v/>
      </c>
      <c r="BT7" s="12">
        <f>AJ7-AI7</f>
        <v/>
      </c>
      <c r="BU7" s="12">
        <f>AK7-AJ7</f>
        <v/>
      </c>
      <c r="BV7" s="12">
        <f>AL7-AK7</f>
        <v/>
      </c>
      <c r="BW7" s="12">
        <f>AM7-AL7</f>
        <v/>
      </c>
      <c r="BY7" s="12">
        <f>H7-D7</f>
        <v/>
      </c>
      <c r="BZ7" s="12">
        <f>I7-E7</f>
        <v/>
      </c>
      <c r="CA7" s="12">
        <f>J7-F7</f>
        <v/>
      </c>
      <c r="CB7" s="12">
        <f>K7-G7</f>
        <v/>
      </c>
      <c r="CC7" s="12">
        <f>L7-H7</f>
        <v/>
      </c>
      <c r="CD7" s="12">
        <f>M7-I7</f>
        <v/>
      </c>
      <c r="CE7" s="12">
        <f>N7-J7</f>
        <v/>
      </c>
      <c r="CF7" s="12">
        <f>O7-K7</f>
        <v/>
      </c>
      <c r="CG7" s="12">
        <f>P7-L7</f>
        <v/>
      </c>
      <c r="CH7" s="12">
        <f>Q7-M7</f>
        <v/>
      </c>
      <c r="CI7" s="12">
        <f>R7-N7</f>
        <v/>
      </c>
      <c r="CJ7" s="12">
        <f>S7-O7</f>
        <v/>
      </c>
      <c r="CK7" s="12">
        <f>T7-P7</f>
        <v/>
      </c>
      <c r="CL7" s="12">
        <f>U7-Q7</f>
        <v/>
      </c>
      <c r="CM7" s="12">
        <f>V7-R7</f>
        <v/>
      </c>
      <c r="CN7" s="12">
        <f>W7-S7</f>
        <v/>
      </c>
      <c r="CO7" s="12">
        <f>X7-T7</f>
        <v/>
      </c>
      <c r="CP7" s="12">
        <f>Y7-U7</f>
        <v/>
      </c>
      <c r="CQ7" s="12">
        <f>Z7-V7</f>
        <v/>
      </c>
      <c r="CR7" s="12">
        <f>AA7-W7</f>
        <v/>
      </c>
      <c r="CS7" s="12">
        <f>AB7-X7</f>
        <v/>
      </c>
      <c r="CT7" s="12">
        <f>AC7-Y7</f>
        <v/>
      </c>
      <c r="CU7" s="12">
        <f>AD7-Z7</f>
        <v/>
      </c>
      <c r="CV7" s="12">
        <f>AE7-AA7</f>
        <v/>
      </c>
      <c r="CW7" s="12">
        <f>AF7-AB7</f>
        <v/>
      </c>
      <c r="CX7" s="12">
        <f>AG7-AC7</f>
        <v/>
      </c>
      <c r="CY7" s="12">
        <f>AH7-AD7</f>
        <v/>
      </c>
      <c r="CZ7" s="12">
        <f>AI7-AE7</f>
        <v/>
      </c>
      <c r="DA7" s="12">
        <f>AJ7-AF7</f>
        <v/>
      </c>
      <c r="DB7" s="12">
        <f>AK7-AG7</f>
        <v/>
      </c>
      <c r="DC7" s="12">
        <f>AL7-AH7</f>
        <v/>
      </c>
      <c r="DD7" s="12">
        <f>AM7-AI7</f>
        <v/>
      </c>
    </row>
    <row r="8">
      <c r="A8" s="4" t="inlineStr">
        <is>
          <t>EL — прочие</t>
        </is>
      </c>
      <c r="B8" s="16" t="inlineStr">
        <is>
          <t>RB</t>
        </is>
      </c>
      <c r="C8" s="15" t="n">
        <v>10</v>
      </c>
      <c r="D8" s="12" t="n">
        <v>3.326879</v>
      </c>
      <c r="E8" s="12" t="n">
        <v>3.202222</v>
      </c>
      <c r="F8" s="12" t="n">
        <v>3.1625</v>
      </c>
      <c r="G8" s="12" t="n">
        <v>3.149127</v>
      </c>
      <c r="H8" s="12" t="n">
        <v>3.160358</v>
      </c>
      <c r="I8" s="12" t="n">
        <v>3.051504</v>
      </c>
      <c r="J8" s="12" t="n">
        <v>3.056607</v>
      </c>
      <c r="K8" s="12" t="n">
        <v>3.012888</v>
      </c>
      <c r="L8" s="12" t="n">
        <v>3.014183</v>
      </c>
      <c r="M8" s="12" t="n">
        <v>2.959452</v>
      </c>
      <c r="N8" s="12" t="n">
        <v>3.013192</v>
      </c>
      <c r="O8" s="12" t="n">
        <v>3.064589</v>
      </c>
      <c r="P8" s="12" t="n">
        <v>2.827206</v>
      </c>
      <c r="Q8" s="12" t="n">
        <v>2.773865</v>
      </c>
      <c r="R8" s="12" t="n">
        <v>2.754806</v>
      </c>
      <c r="S8" s="12" t="n">
        <v>2.752117</v>
      </c>
      <c r="T8" s="12" t="n">
        <v>2.65327</v>
      </c>
      <c r="U8" s="12" t="n">
        <v>2.565213</v>
      </c>
      <c r="V8" s="12" t="n">
        <v>2.612028</v>
      </c>
      <c r="W8" s="12" t="n">
        <v>2.654717</v>
      </c>
      <c r="X8" s="12" t="n">
        <v>2.738199</v>
      </c>
      <c r="Y8" s="12" t="n">
        <v>2.571633</v>
      </c>
      <c r="Z8" s="12" t="n">
        <v>2.445707</v>
      </c>
      <c r="AA8" s="12" t="n">
        <v>2.403899</v>
      </c>
      <c r="AB8" s="12" t="n">
        <v>2.404753</v>
      </c>
      <c r="AC8" s="12" t="n">
        <v>2.376893</v>
      </c>
      <c r="AD8" s="12" t="n">
        <v>2.546951</v>
      </c>
      <c r="AE8" s="12" t="n">
        <v>2.561576</v>
      </c>
      <c r="AF8" s="12" t="n">
        <v>2.542604</v>
      </c>
      <c r="AG8" s="12" t="n">
        <v>2.455625</v>
      </c>
      <c r="AH8" s="12" t="n">
        <v>2.303325</v>
      </c>
      <c r="AI8" s="12" t="n">
        <v>2.321167</v>
      </c>
      <c r="AJ8" s="12" t="n">
        <v>2.289344</v>
      </c>
      <c r="AK8" s="12" t="n">
        <v>2.348211</v>
      </c>
      <c r="AL8" s="12" t="n">
        <v>2.306177</v>
      </c>
      <c r="AM8" s="12" t="n">
        <v>2.471786</v>
      </c>
      <c r="AO8" s="12">
        <f>E8-D8</f>
        <v/>
      </c>
      <c r="AP8" s="12">
        <f>F8-E8</f>
        <v/>
      </c>
      <c r="AQ8" s="12">
        <f>G8-F8</f>
        <v/>
      </c>
      <c r="AR8" s="12">
        <f>H8-G8</f>
        <v/>
      </c>
      <c r="AS8" s="12">
        <f>I8-H8</f>
        <v/>
      </c>
      <c r="AT8" s="12">
        <f>J8-I8</f>
        <v/>
      </c>
      <c r="AU8" s="12">
        <f>K8-J8</f>
        <v/>
      </c>
      <c r="AV8" s="12">
        <f>L8-K8</f>
        <v/>
      </c>
      <c r="AW8" s="12">
        <f>M8-L8</f>
        <v/>
      </c>
      <c r="AX8" s="12">
        <f>N8-M8</f>
        <v/>
      </c>
      <c r="AY8" s="12">
        <f>O8-N8</f>
        <v/>
      </c>
      <c r="AZ8" s="12">
        <f>P8-O8</f>
        <v/>
      </c>
      <c r="BA8" s="12">
        <f>Q8-P8</f>
        <v/>
      </c>
      <c r="BB8" s="12">
        <f>R8-Q8</f>
        <v/>
      </c>
      <c r="BC8" s="12">
        <f>S8-R8</f>
        <v/>
      </c>
      <c r="BD8" s="12">
        <f>T8-S8</f>
        <v/>
      </c>
      <c r="BE8" s="12">
        <f>U8-T8</f>
        <v/>
      </c>
      <c r="BF8" s="12">
        <f>V8-U8</f>
        <v/>
      </c>
      <c r="BG8" s="12">
        <f>W8-V8</f>
        <v/>
      </c>
      <c r="BH8" s="12">
        <f>X8-W8</f>
        <v/>
      </c>
      <c r="BI8" s="12">
        <f>Y8-X8</f>
        <v/>
      </c>
      <c r="BJ8" s="12">
        <f>Z8-Y8</f>
        <v/>
      </c>
      <c r="BK8" s="12">
        <f>AA8-Z8</f>
        <v/>
      </c>
      <c r="BL8" s="12">
        <f>AB8-AA8</f>
        <v/>
      </c>
      <c r="BM8" s="12">
        <f>AC8-AB8</f>
        <v/>
      </c>
      <c r="BN8" s="12">
        <f>AD8-AC8</f>
        <v/>
      </c>
      <c r="BO8" s="12">
        <f>AE8-AD8</f>
        <v/>
      </c>
      <c r="BP8" s="12">
        <f>AF8-AE8</f>
        <v/>
      </c>
      <c r="BQ8" s="12">
        <f>AG8-AF8</f>
        <v/>
      </c>
      <c r="BR8" s="12">
        <f>AH8-AG8</f>
        <v/>
      </c>
      <c r="BS8" s="12">
        <f>AI8-AH8</f>
        <v/>
      </c>
      <c r="BT8" s="12">
        <f>AJ8-AI8</f>
        <v/>
      </c>
      <c r="BU8" s="12">
        <f>AK8-AJ8</f>
        <v/>
      </c>
      <c r="BV8" s="12">
        <f>AL8-AK8</f>
        <v/>
      </c>
      <c r="BW8" s="12">
        <f>AM8-AL8</f>
        <v/>
      </c>
      <c r="BY8" s="12">
        <f>H8-D8</f>
        <v/>
      </c>
      <c r="BZ8" s="12">
        <f>I8-E8</f>
        <v/>
      </c>
      <c r="CA8" s="12">
        <f>J8-F8</f>
        <v/>
      </c>
      <c r="CB8" s="12">
        <f>K8-G8</f>
        <v/>
      </c>
      <c r="CC8" s="12">
        <f>L8-H8</f>
        <v/>
      </c>
      <c r="CD8" s="12">
        <f>M8-I8</f>
        <v/>
      </c>
      <c r="CE8" s="12">
        <f>N8-J8</f>
        <v/>
      </c>
      <c r="CF8" s="12">
        <f>O8-K8</f>
        <v/>
      </c>
      <c r="CG8" s="12">
        <f>P8-L8</f>
        <v/>
      </c>
      <c r="CH8" s="12">
        <f>Q8-M8</f>
        <v/>
      </c>
      <c r="CI8" s="12">
        <f>R8-N8</f>
        <v/>
      </c>
      <c r="CJ8" s="12">
        <f>S8-O8</f>
        <v/>
      </c>
      <c r="CK8" s="12">
        <f>T8-P8</f>
        <v/>
      </c>
      <c r="CL8" s="12">
        <f>U8-Q8</f>
        <v/>
      </c>
      <c r="CM8" s="12">
        <f>V8-R8</f>
        <v/>
      </c>
      <c r="CN8" s="12">
        <f>W8-S8</f>
        <v/>
      </c>
      <c r="CO8" s="12">
        <f>X8-T8</f>
        <v/>
      </c>
      <c r="CP8" s="12">
        <f>Y8-U8</f>
        <v/>
      </c>
      <c r="CQ8" s="12">
        <f>Z8-V8</f>
        <v/>
      </c>
      <c r="CR8" s="12">
        <f>AA8-W8</f>
        <v/>
      </c>
      <c r="CS8" s="12">
        <f>AB8-X8</f>
        <v/>
      </c>
      <c r="CT8" s="12">
        <f>AC8-Y8</f>
        <v/>
      </c>
      <c r="CU8" s="12">
        <f>AD8-Z8</f>
        <v/>
      </c>
      <c r="CV8" s="12">
        <f>AE8-AA8</f>
        <v/>
      </c>
      <c r="CW8" s="12">
        <f>AF8-AB8</f>
        <v/>
      </c>
      <c r="CX8" s="12">
        <f>AG8-AC8</f>
        <v/>
      </c>
      <c r="CY8" s="12">
        <f>AH8-AD8</f>
        <v/>
      </c>
      <c r="CZ8" s="12">
        <f>AI8-AE8</f>
        <v/>
      </c>
      <c r="DA8" s="12">
        <f>AJ8-AF8</f>
        <v/>
      </c>
      <c r="DB8" s="12">
        <f>AK8-AG8</f>
        <v/>
      </c>
      <c r="DC8" s="12">
        <f>AL8-AH8</f>
        <v/>
      </c>
      <c r="DD8" s="12">
        <f>AM8-AI8</f>
        <v/>
      </c>
    </row>
    <row r="9">
      <c r="A9" s="4" t="inlineStr">
        <is>
          <t>PD — необеспеченные</t>
        </is>
      </c>
      <c r="B9" s="16" t="inlineStr">
        <is>
          <t>RB</t>
        </is>
      </c>
      <c r="C9" s="15" t="n">
        <v>15</v>
      </c>
      <c r="D9" s="12" t="n">
        <v>11.60745</v>
      </c>
      <c r="E9" s="12" t="n">
        <v>11.60097</v>
      </c>
      <c r="F9" s="12" t="n">
        <v>11.557592</v>
      </c>
      <c r="G9" s="12" t="n">
        <v>11.600434</v>
      </c>
      <c r="H9" s="12" t="n">
        <v>11.609779</v>
      </c>
      <c r="I9" s="12" t="n">
        <v>11.578222</v>
      </c>
      <c r="J9" s="12" t="n">
        <v>11.504748</v>
      </c>
      <c r="K9" s="12" t="n">
        <v>11.470526</v>
      </c>
      <c r="L9" s="12" t="n">
        <v>11.567866</v>
      </c>
      <c r="M9" s="12" t="n">
        <v>11.537957</v>
      </c>
      <c r="N9" s="12" t="n">
        <v>11.689138</v>
      </c>
      <c r="O9" s="12" t="n">
        <v>11.74201</v>
      </c>
      <c r="P9" s="12" t="n">
        <v>11.687766</v>
      </c>
      <c r="Q9" s="12" t="n">
        <v>11.716373</v>
      </c>
      <c r="R9" s="12" t="n">
        <v>11.627811</v>
      </c>
      <c r="S9" s="12" t="n">
        <v>11.221708</v>
      </c>
      <c r="T9" s="12" t="n">
        <v>11.558577</v>
      </c>
      <c r="U9" s="12" t="n">
        <v>11.760264</v>
      </c>
      <c r="V9" s="12" t="n">
        <v>11.559204</v>
      </c>
      <c r="W9" s="12" t="n">
        <v>11.592315</v>
      </c>
      <c r="X9" s="12" t="n">
        <v>11.533197</v>
      </c>
      <c r="Y9" s="12" t="n">
        <v>11.505819</v>
      </c>
      <c r="Z9" s="12" t="n">
        <v>11.613521</v>
      </c>
      <c r="AA9" s="12" t="n">
        <v>11.503023</v>
      </c>
      <c r="AB9" s="12" t="n">
        <v>11.624704</v>
      </c>
      <c r="AC9" s="12" t="n">
        <v>11.571404</v>
      </c>
      <c r="AD9" s="12" t="n">
        <v>11.538188</v>
      </c>
      <c r="AE9" s="12" t="n">
        <v>11.503777</v>
      </c>
      <c r="AF9" s="12" t="n">
        <v>11.398796</v>
      </c>
      <c r="AG9" s="12" t="n">
        <v>11.227537</v>
      </c>
      <c r="AH9" s="12" t="n">
        <v>11.207139</v>
      </c>
      <c r="AI9" s="12" t="n">
        <v>11.177429</v>
      </c>
      <c r="AJ9" s="12" t="n">
        <v>11.041782</v>
      </c>
      <c r="AK9" s="12" t="n">
        <v>11.006035</v>
      </c>
      <c r="AL9" s="12" t="n">
        <v>10.98054</v>
      </c>
      <c r="AM9" s="12" t="n">
        <v>10.961171</v>
      </c>
      <c r="AO9" s="12">
        <f>E9-D9</f>
        <v/>
      </c>
      <c r="AP9" s="12">
        <f>F9-E9</f>
        <v/>
      </c>
      <c r="AQ9" s="12">
        <f>G9-F9</f>
        <v/>
      </c>
      <c r="AR9" s="12">
        <f>H9-G9</f>
        <v/>
      </c>
      <c r="AS9" s="12">
        <f>I9-H9</f>
        <v/>
      </c>
      <c r="AT9" s="12">
        <f>J9-I9</f>
        <v/>
      </c>
      <c r="AU9" s="12">
        <f>K9-J9</f>
        <v/>
      </c>
      <c r="AV9" s="12">
        <f>L9-K9</f>
        <v/>
      </c>
      <c r="AW9" s="12">
        <f>M9-L9</f>
        <v/>
      </c>
      <c r="AX9" s="12">
        <f>N9-M9</f>
        <v/>
      </c>
      <c r="AY9" s="12">
        <f>O9-N9</f>
        <v/>
      </c>
      <c r="AZ9" s="12">
        <f>P9-O9</f>
        <v/>
      </c>
      <c r="BA9" s="12">
        <f>Q9-P9</f>
        <v/>
      </c>
      <c r="BB9" s="12">
        <f>R9-Q9</f>
        <v/>
      </c>
      <c r="BC9" s="12">
        <f>S9-R9</f>
        <v/>
      </c>
      <c r="BD9" s="12">
        <f>T9-S9</f>
        <v/>
      </c>
      <c r="BE9" s="12">
        <f>U9-T9</f>
        <v/>
      </c>
      <c r="BF9" s="12">
        <f>V9-U9</f>
        <v/>
      </c>
      <c r="BG9" s="12">
        <f>W9-V9</f>
        <v/>
      </c>
      <c r="BH9" s="12">
        <f>X9-W9</f>
        <v/>
      </c>
      <c r="BI9" s="12">
        <f>Y9-X9</f>
        <v/>
      </c>
      <c r="BJ9" s="12">
        <f>Z9-Y9</f>
        <v/>
      </c>
      <c r="BK9" s="12">
        <f>AA9-Z9</f>
        <v/>
      </c>
      <c r="BL9" s="12">
        <f>AB9-AA9</f>
        <v/>
      </c>
      <c r="BM9" s="12">
        <f>AC9-AB9</f>
        <v/>
      </c>
      <c r="BN9" s="12">
        <f>AD9-AC9</f>
        <v/>
      </c>
      <c r="BO9" s="12">
        <f>AE9-AD9</f>
        <v/>
      </c>
      <c r="BP9" s="12">
        <f>AF9-AE9</f>
        <v/>
      </c>
      <c r="BQ9" s="12">
        <f>AG9-AF9</f>
        <v/>
      </c>
      <c r="BR9" s="12">
        <f>AH9-AG9</f>
        <v/>
      </c>
      <c r="BS9" s="12">
        <f>AI9-AH9</f>
        <v/>
      </c>
      <c r="BT9" s="12">
        <f>AJ9-AI9</f>
        <v/>
      </c>
      <c r="BU9" s="12">
        <f>AK9-AJ9</f>
        <v/>
      </c>
      <c r="BV9" s="12">
        <f>AL9-AK9</f>
        <v/>
      </c>
      <c r="BW9" s="12">
        <f>AM9-AL9</f>
        <v/>
      </c>
      <c r="BY9" s="12">
        <f>H9-D9</f>
        <v/>
      </c>
      <c r="BZ9" s="12">
        <f>I9-E9</f>
        <v/>
      </c>
      <c r="CA9" s="12">
        <f>J9-F9</f>
        <v/>
      </c>
      <c r="CB9" s="12">
        <f>K9-G9</f>
        <v/>
      </c>
      <c r="CC9" s="12">
        <f>L9-H9</f>
        <v/>
      </c>
      <c r="CD9" s="12">
        <f>M9-I9</f>
        <v/>
      </c>
      <c r="CE9" s="12">
        <f>N9-J9</f>
        <v/>
      </c>
      <c r="CF9" s="12">
        <f>O9-K9</f>
        <v/>
      </c>
      <c r="CG9" s="12">
        <f>P9-L9</f>
        <v/>
      </c>
      <c r="CH9" s="12">
        <f>Q9-M9</f>
        <v/>
      </c>
      <c r="CI9" s="12">
        <f>R9-N9</f>
        <v/>
      </c>
      <c r="CJ9" s="12">
        <f>S9-O9</f>
        <v/>
      </c>
      <c r="CK9" s="12">
        <f>T9-P9</f>
        <v/>
      </c>
      <c r="CL9" s="12">
        <f>U9-Q9</f>
        <v/>
      </c>
      <c r="CM9" s="12">
        <f>V9-R9</f>
        <v/>
      </c>
      <c r="CN9" s="12">
        <f>W9-S9</f>
        <v/>
      </c>
      <c r="CO9" s="12">
        <f>X9-T9</f>
        <v/>
      </c>
      <c r="CP9" s="12">
        <f>Y9-U9</f>
        <v/>
      </c>
      <c r="CQ9" s="12">
        <f>Z9-V9</f>
        <v/>
      </c>
      <c r="CR9" s="12">
        <f>AA9-W9</f>
        <v/>
      </c>
      <c r="CS9" s="12">
        <f>AB9-X9</f>
        <v/>
      </c>
      <c r="CT9" s="12">
        <f>AC9-Y9</f>
        <v/>
      </c>
      <c r="CU9" s="12">
        <f>AD9-Z9</f>
        <v/>
      </c>
      <c r="CV9" s="12">
        <f>AE9-AA9</f>
        <v/>
      </c>
      <c r="CW9" s="12">
        <f>AF9-AB9</f>
        <v/>
      </c>
      <c r="CX9" s="12">
        <f>AG9-AC9</f>
        <v/>
      </c>
      <c r="CY9" s="12">
        <f>AH9-AD9</f>
        <v/>
      </c>
      <c r="CZ9" s="12">
        <f>AI9-AE9</f>
        <v/>
      </c>
      <c r="DA9" s="12">
        <f>AJ9-AF9</f>
        <v/>
      </c>
      <c r="DB9" s="12">
        <f>AK9-AG9</f>
        <v/>
      </c>
      <c r="DC9" s="12">
        <f>AL9-AH9</f>
        <v/>
      </c>
      <c r="DD9" s="12">
        <f>AM9-AI9</f>
        <v/>
      </c>
    </row>
    <row r="10">
      <c r="A10" s="4" t="inlineStr">
        <is>
          <t>PD — необеспеченные, наличные</t>
        </is>
      </c>
      <c r="B10" s="16" t="inlineStr">
        <is>
          <t>RB</t>
        </is>
      </c>
      <c r="C10" s="15" t="n">
        <v>15</v>
      </c>
      <c r="D10" s="12" t="n">
        <v>11.674808</v>
      </c>
      <c r="E10" s="12" t="n">
        <v>11.668178</v>
      </c>
      <c r="F10" s="12" t="n">
        <v>11.61045</v>
      </c>
      <c r="G10" s="12" t="n">
        <v>11.661356</v>
      </c>
      <c r="H10" s="12" t="n">
        <v>11.655618</v>
      </c>
      <c r="I10" s="12" t="n">
        <v>11.614657</v>
      </c>
      <c r="J10" s="12" t="n">
        <v>11.584871</v>
      </c>
      <c r="K10" s="12" t="n">
        <v>11.584976</v>
      </c>
      <c r="L10" s="12" t="n">
        <v>11.69753</v>
      </c>
      <c r="M10" s="12" t="n">
        <v>11.659563</v>
      </c>
      <c r="N10" s="12" t="n">
        <v>11.865741</v>
      </c>
      <c r="O10" s="12" t="n">
        <v>11.917347</v>
      </c>
      <c r="P10" s="12" t="n">
        <v>11.843573</v>
      </c>
      <c r="Q10" s="12" t="n">
        <v>11.888088</v>
      </c>
      <c r="R10" s="12" t="n">
        <v>11.812672</v>
      </c>
      <c r="S10" s="12" t="n">
        <v>11.320271</v>
      </c>
      <c r="T10" s="12" t="n">
        <v>11.711669</v>
      </c>
      <c r="U10" s="12" t="n">
        <v>11.95958</v>
      </c>
      <c r="V10" s="12" t="n">
        <v>11.735592</v>
      </c>
      <c r="W10" s="12" t="n">
        <v>11.762706</v>
      </c>
      <c r="X10" s="12" t="n">
        <v>11.704674</v>
      </c>
      <c r="Y10" s="12" t="n">
        <v>11.675266</v>
      </c>
      <c r="Z10" s="12" t="n">
        <v>11.795348</v>
      </c>
      <c r="AA10" s="12" t="n">
        <v>11.668777</v>
      </c>
      <c r="AB10" s="12" t="n">
        <v>11.789555</v>
      </c>
      <c r="AC10" s="12" t="n">
        <v>11.726212</v>
      </c>
      <c r="AD10" s="12" t="n">
        <v>11.70914</v>
      </c>
      <c r="AE10" s="12" t="n">
        <v>11.651701</v>
      </c>
      <c r="AF10" s="12" t="n">
        <v>11.531915</v>
      </c>
      <c r="AG10" s="12" t="n">
        <v>11.341787</v>
      </c>
      <c r="AH10" s="12" t="n">
        <v>11.319256</v>
      </c>
      <c r="AI10" s="12" t="n">
        <v>11.279728</v>
      </c>
      <c r="AJ10" s="12" t="n">
        <v>11.12813</v>
      </c>
      <c r="AK10" s="12" t="n">
        <v>11.092788</v>
      </c>
      <c r="AL10" s="12" t="n">
        <v>11.065915</v>
      </c>
      <c r="AM10" s="12" t="n">
        <v>11.046123</v>
      </c>
      <c r="AO10" s="12">
        <f>E10-D10</f>
        <v/>
      </c>
      <c r="AP10" s="12">
        <f>F10-E10</f>
        <v/>
      </c>
      <c r="AQ10" s="12">
        <f>G10-F10</f>
        <v/>
      </c>
      <c r="AR10" s="12">
        <f>H10-G10</f>
        <v/>
      </c>
      <c r="AS10" s="12">
        <f>I10-H10</f>
        <v/>
      </c>
      <c r="AT10" s="12">
        <f>J10-I10</f>
        <v/>
      </c>
      <c r="AU10" s="12">
        <f>K10-J10</f>
        <v/>
      </c>
      <c r="AV10" s="12">
        <f>L10-K10</f>
        <v/>
      </c>
      <c r="AW10" s="12">
        <f>M10-L10</f>
        <v/>
      </c>
      <c r="AX10" s="12">
        <f>N10-M10</f>
        <v/>
      </c>
      <c r="AY10" s="12">
        <f>O10-N10</f>
        <v/>
      </c>
      <c r="AZ10" s="12">
        <f>P10-O10</f>
        <v/>
      </c>
      <c r="BA10" s="12">
        <f>Q10-P10</f>
        <v/>
      </c>
      <c r="BB10" s="12">
        <f>R10-Q10</f>
        <v/>
      </c>
      <c r="BC10" s="12">
        <f>S10-R10</f>
        <v/>
      </c>
      <c r="BD10" s="12">
        <f>T10-S10</f>
        <v/>
      </c>
      <c r="BE10" s="12">
        <f>U10-T10</f>
        <v/>
      </c>
      <c r="BF10" s="12">
        <f>V10-U10</f>
        <v/>
      </c>
      <c r="BG10" s="12">
        <f>W10-V10</f>
        <v/>
      </c>
      <c r="BH10" s="12">
        <f>X10-W10</f>
        <v/>
      </c>
      <c r="BI10" s="12">
        <f>Y10-X10</f>
        <v/>
      </c>
      <c r="BJ10" s="12">
        <f>Z10-Y10</f>
        <v/>
      </c>
      <c r="BK10" s="12">
        <f>AA10-Z10</f>
        <v/>
      </c>
      <c r="BL10" s="12">
        <f>AB10-AA10</f>
        <v/>
      </c>
      <c r="BM10" s="12">
        <f>AC10-AB10</f>
        <v/>
      </c>
      <c r="BN10" s="12">
        <f>AD10-AC10</f>
        <v/>
      </c>
      <c r="BO10" s="12">
        <f>AE10-AD10</f>
        <v/>
      </c>
      <c r="BP10" s="12">
        <f>AF10-AE10</f>
        <v/>
      </c>
      <c r="BQ10" s="12">
        <f>AG10-AF10</f>
        <v/>
      </c>
      <c r="BR10" s="12">
        <f>AH10-AG10</f>
        <v/>
      </c>
      <c r="BS10" s="12">
        <f>AI10-AH10</f>
        <v/>
      </c>
      <c r="BT10" s="12">
        <f>AJ10-AI10</f>
        <v/>
      </c>
      <c r="BU10" s="12">
        <f>AK10-AJ10</f>
        <v/>
      </c>
      <c r="BV10" s="12">
        <f>AL10-AK10</f>
        <v/>
      </c>
      <c r="BW10" s="12">
        <f>AM10-AL10</f>
        <v/>
      </c>
      <c r="BY10" s="12">
        <f>H10-D10</f>
        <v/>
      </c>
      <c r="BZ10" s="12">
        <f>I10-E10</f>
        <v/>
      </c>
      <c r="CA10" s="12">
        <f>J10-F10</f>
        <v/>
      </c>
      <c r="CB10" s="12">
        <f>K10-G10</f>
        <v/>
      </c>
      <c r="CC10" s="12">
        <f>L10-H10</f>
        <v/>
      </c>
      <c r="CD10" s="12">
        <f>M10-I10</f>
        <v/>
      </c>
      <c r="CE10" s="12">
        <f>N10-J10</f>
        <v/>
      </c>
      <c r="CF10" s="12">
        <f>O10-K10</f>
        <v/>
      </c>
      <c r="CG10" s="12">
        <f>P10-L10</f>
        <v/>
      </c>
      <c r="CH10" s="12">
        <f>Q10-M10</f>
        <v/>
      </c>
      <c r="CI10" s="12">
        <f>R10-N10</f>
        <v/>
      </c>
      <c r="CJ10" s="12">
        <f>S10-O10</f>
        <v/>
      </c>
      <c r="CK10" s="12">
        <f>T10-P10</f>
        <v/>
      </c>
      <c r="CL10" s="12">
        <f>U10-Q10</f>
        <v/>
      </c>
      <c r="CM10" s="12">
        <f>V10-R10</f>
        <v/>
      </c>
      <c r="CN10" s="12">
        <f>W10-S10</f>
        <v/>
      </c>
      <c r="CO10" s="12">
        <f>X10-T10</f>
        <v/>
      </c>
      <c r="CP10" s="12">
        <f>Y10-U10</f>
        <v/>
      </c>
      <c r="CQ10" s="12">
        <f>Z10-V10</f>
        <v/>
      </c>
      <c r="CR10" s="12">
        <f>AA10-W10</f>
        <v/>
      </c>
      <c r="CS10" s="12">
        <f>AB10-X10</f>
        <v/>
      </c>
      <c r="CT10" s="12">
        <f>AC10-Y10</f>
        <v/>
      </c>
      <c r="CU10" s="12">
        <f>AD10-Z10</f>
        <v/>
      </c>
      <c r="CV10" s="12">
        <f>AE10-AA10</f>
        <v/>
      </c>
      <c r="CW10" s="12">
        <f>AF10-AB10</f>
        <v/>
      </c>
      <c r="CX10" s="12">
        <f>AG10-AC10</f>
        <v/>
      </c>
      <c r="CY10" s="12">
        <f>AH10-AD10</f>
        <v/>
      </c>
      <c r="CZ10" s="12">
        <f>AI10-AE10</f>
        <v/>
      </c>
      <c r="DA10" s="12">
        <f>AJ10-AF10</f>
        <v/>
      </c>
      <c r="DB10" s="12">
        <f>AK10-AG10</f>
        <v/>
      </c>
      <c r="DC10" s="12">
        <f>AL10-AH10</f>
        <v/>
      </c>
      <c r="DD10" s="12">
        <f>AM10-AI10</f>
        <v/>
      </c>
    </row>
    <row r="11">
      <c r="A11" s="4" t="inlineStr">
        <is>
          <t>PD — необеспеченные, товарные</t>
        </is>
      </c>
      <c r="B11" s="16" t="inlineStr">
        <is>
          <t>RB</t>
        </is>
      </c>
      <c r="C11" s="15" t="n">
        <v>15</v>
      </c>
      <c r="D11" s="12" t="n">
        <v>11.50521</v>
      </c>
      <c r="E11" s="12" t="n">
        <v>11.50766</v>
      </c>
      <c r="F11" s="12" t="n">
        <v>11.54243</v>
      </c>
      <c r="G11" s="12" t="n">
        <v>11.55294</v>
      </c>
      <c r="H11" s="12" t="n">
        <v>11.651115</v>
      </c>
      <c r="I11" s="12" t="n">
        <v>11.668182</v>
      </c>
      <c r="J11" s="12" t="n">
        <v>11.352983</v>
      </c>
      <c r="K11" s="12" t="n">
        <v>11.106068</v>
      </c>
      <c r="L11" s="12" t="n">
        <v>11.114965</v>
      </c>
      <c r="M11" s="12" t="n">
        <v>11.141404</v>
      </c>
      <c r="N11" s="12" t="n">
        <v>10.962641</v>
      </c>
      <c r="O11" s="12" t="n">
        <v>11.007145</v>
      </c>
      <c r="P11" s="12" t="n">
        <v>11.075746</v>
      </c>
      <c r="Q11" s="12" t="n">
        <v>11.00069</v>
      </c>
      <c r="R11" s="12" t="n">
        <v>10.821536</v>
      </c>
      <c r="S11" s="12" t="n">
        <v>10.931785</v>
      </c>
      <c r="T11" s="12" t="n">
        <v>10.944521</v>
      </c>
      <c r="U11" s="12" t="n">
        <v>10.843042</v>
      </c>
      <c r="V11" s="12" t="n">
        <v>10.762585</v>
      </c>
      <c r="W11" s="12" t="n">
        <v>10.804766</v>
      </c>
      <c r="X11" s="12" t="n">
        <v>10.735113</v>
      </c>
      <c r="Y11" s="12" t="n">
        <v>10.688897</v>
      </c>
      <c r="Z11" s="12" t="n">
        <v>10.682042</v>
      </c>
      <c r="AA11" s="12" t="n">
        <v>10.659418</v>
      </c>
      <c r="AB11" s="12" t="n">
        <v>10.766198</v>
      </c>
      <c r="AC11" s="12" t="n">
        <v>10.756449</v>
      </c>
      <c r="AD11" s="12" t="n">
        <v>10.534971</v>
      </c>
      <c r="AE11" s="12" t="n">
        <v>10.655369</v>
      </c>
      <c r="AF11" s="12" t="n">
        <v>10.633609</v>
      </c>
      <c r="AG11" s="12" t="n">
        <v>10.600999</v>
      </c>
      <c r="AH11" s="12" t="n">
        <v>10.577046</v>
      </c>
      <c r="AI11" s="12" t="n">
        <v>10.597294</v>
      </c>
      <c r="AJ11" s="12" t="n">
        <v>10.629639</v>
      </c>
      <c r="AK11" s="12" t="n">
        <v>10.577601</v>
      </c>
      <c r="AL11" s="12" t="n">
        <v>10.612922</v>
      </c>
      <c r="AM11" s="12" t="n">
        <v>10.586523</v>
      </c>
      <c r="AO11" s="12">
        <f>E11-D11</f>
        <v/>
      </c>
      <c r="AP11" s="12">
        <f>F11-E11</f>
        <v/>
      </c>
      <c r="AQ11" s="12">
        <f>G11-F11</f>
        <v/>
      </c>
      <c r="AR11" s="12">
        <f>H11-G11</f>
        <v/>
      </c>
      <c r="AS11" s="12">
        <f>I11-H11</f>
        <v/>
      </c>
      <c r="AT11" s="12">
        <f>J11-I11</f>
        <v/>
      </c>
      <c r="AU11" s="12">
        <f>K11-J11</f>
        <v/>
      </c>
      <c r="AV11" s="12">
        <f>L11-K11</f>
        <v/>
      </c>
      <c r="AW11" s="12">
        <f>M11-L11</f>
        <v/>
      </c>
      <c r="AX11" s="12">
        <f>N11-M11</f>
        <v/>
      </c>
      <c r="AY11" s="12">
        <f>O11-N11</f>
        <v/>
      </c>
      <c r="AZ11" s="12">
        <f>P11-O11</f>
        <v/>
      </c>
      <c r="BA11" s="12">
        <f>Q11-P11</f>
        <v/>
      </c>
      <c r="BB11" s="12">
        <f>R11-Q11</f>
        <v/>
      </c>
      <c r="BC11" s="12">
        <f>S11-R11</f>
        <v/>
      </c>
      <c r="BD11" s="12">
        <f>T11-S11</f>
        <v/>
      </c>
      <c r="BE11" s="12">
        <f>U11-T11</f>
        <v/>
      </c>
      <c r="BF11" s="12">
        <f>V11-U11</f>
        <v/>
      </c>
      <c r="BG11" s="12">
        <f>W11-V11</f>
        <v/>
      </c>
      <c r="BH11" s="12">
        <f>X11-W11</f>
        <v/>
      </c>
      <c r="BI11" s="12">
        <f>Y11-X11</f>
        <v/>
      </c>
      <c r="BJ11" s="12">
        <f>Z11-Y11</f>
        <v/>
      </c>
      <c r="BK11" s="12">
        <f>AA11-Z11</f>
        <v/>
      </c>
      <c r="BL11" s="12">
        <f>AB11-AA11</f>
        <v/>
      </c>
      <c r="BM11" s="12">
        <f>AC11-AB11</f>
        <v/>
      </c>
      <c r="BN11" s="12">
        <f>AD11-AC11</f>
        <v/>
      </c>
      <c r="BO11" s="12">
        <f>AE11-AD11</f>
        <v/>
      </c>
      <c r="BP11" s="12">
        <f>AF11-AE11</f>
        <v/>
      </c>
      <c r="BQ11" s="12">
        <f>AG11-AF11</f>
        <v/>
      </c>
      <c r="BR11" s="12">
        <f>AH11-AG11</f>
        <v/>
      </c>
      <c r="BS11" s="12">
        <f>AI11-AH11</f>
        <v/>
      </c>
      <c r="BT11" s="12">
        <f>AJ11-AI11</f>
        <v/>
      </c>
      <c r="BU11" s="12">
        <f>AK11-AJ11</f>
        <v/>
      </c>
      <c r="BV11" s="12">
        <f>AL11-AK11</f>
        <v/>
      </c>
      <c r="BW11" s="12">
        <f>AM11-AL11</f>
        <v/>
      </c>
      <c r="BY11" s="12">
        <f>H11-D11</f>
        <v/>
      </c>
      <c r="BZ11" s="12">
        <f>I11-E11</f>
        <v/>
      </c>
      <c r="CA11" s="12">
        <f>J11-F11</f>
        <v/>
      </c>
      <c r="CB11" s="12">
        <f>K11-G11</f>
        <v/>
      </c>
      <c r="CC11" s="12">
        <f>L11-H11</f>
        <v/>
      </c>
      <c r="CD11" s="12">
        <f>M11-I11</f>
        <v/>
      </c>
      <c r="CE11" s="12">
        <f>N11-J11</f>
        <v/>
      </c>
      <c r="CF11" s="12">
        <f>O11-K11</f>
        <v/>
      </c>
      <c r="CG11" s="12">
        <f>P11-L11</f>
        <v/>
      </c>
      <c r="CH11" s="12">
        <f>Q11-M11</f>
        <v/>
      </c>
      <c r="CI11" s="12">
        <f>R11-N11</f>
        <v/>
      </c>
      <c r="CJ11" s="12">
        <f>S11-O11</f>
        <v/>
      </c>
      <c r="CK11" s="12">
        <f>T11-P11</f>
        <v/>
      </c>
      <c r="CL11" s="12">
        <f>U11-Q11</f>
        <v/>
      </c>
      <c r="CM11" s="12">
        <f>V11-R11</f>
        <v/>
      </c>
      <c r="CN11" s="12">
        <f>W11-S11</f>
        <v/>
      </c>
      <c r="CO11" s="12">
        <f>X11-T11</f>
        <v/>
      </c>
      <c r="CP11" s="12">
        <f>Y11-U11</f>
        <v/>
      </c>
      <c r="CQ11" s="12">
        <f>Z11-V11</f>
        <v/>
      </c>
      <c r="CR11" s="12">
        <f>AA11-W11</f>
        <v/>
      </c>
      <c r="CS11" s="12">
        <f>AB11-X11</f>
        <v/>
      </c>
      <c r="CT11" s="12">
        <f>AC11-Y11</f>
        <v/>
      </c>
      <c r="CU11" s="12">
        <f>AD11-Z11</f>
        <v/>
      </c>
      <c r="CV11" s="12">
        <f>AE11-AA11</f>
        <v/>
      </c>
      <c r="CW11" s="12">
        <f>AF11-AB11</f>
        <v/>
      </c>
      <c r="CX11" s="12">
        <f>AG11-AC11</f>
        <v/>
      </c>
      <c r="CY11" s="12">
        <f>AH11-AD11</f>
        <v/>
      </c>
      <c r="CZ11" s="12">
        <f>AI11-AE11</f>
        <v/>
      </c>
      <c r="DA11" s="12">
        <f>AJ11-AF11</f>
        <v/>
      </c>
      <c r="DB11" s="12">
        <f>AK11-AG11</f>
        <v/>
      </c>
      <c r="DC11" s="12">
        <f>AL11-AH11</f>
        <v/>
      </c>
      <c r="DD11" s="12">
        <f>AM11-AI11</f>
        <v/>
      </c>
    </row>
    <row r="12">
      <c r="A12" s="4" t="inlineStr">
        <is>
          <t>PD — обеспеченные</t>
        </is>
      </c>
      <c r="B12" s="16" t="inlineStr">
        <is>
          <t>RB</t>
        </is>
      </c>
      <c r="C12" s="15" t="n">
        <v>7</v>
      </c>
      <c r="D12" s="12" t="n">
        <v>4.686167</v>
      </c>
      <c r="E12" s="12" t="n">
        <v>4.757833</v>
      </c>
      <c r="F12" s="12" t="n">
        <v>4.71486</v>
      </c>
      <c r="G12" s="12" t="n">
        <v>4.769401</v>
      </c>
      <c r="H12" s="12" t="n">
        <v>4.703394</v>
      </c>
      <c r="I12" s="12" t="n">
        <v>4.713498</v>
      </c>
      <c r="J12" s="12" t="n">
        <v>4.709291</v>
      </c>
      <c r="K12" s="12" t="n">
        <v>4.765951</v>
      </c>
      <c r="L12" s="12" t="n">
        <v>4.872496</v>
      </c>
      <c r="M12" s="12" t="n">
        <v>4.872588</v>
      </c>
      <c r="N12" s="12" t="n">
        <v>5.174162</v>
      </c>
      <c r="O12" s="12" t="n">
        <v>5.1579</v>
      </c>
      <c r="P12" s="12" t="n">
        <v>5.192143</v>
      </c>
      <c r="Q12" s="12" t="n">
        <v>5.284508</v>
      </c>
      <c r="R12" s="12" t="n">
        <v>5.078941</v>
      </c>
      <c r="S12" s="12" t="n">
        <v>4.80978</v>
      </c>
      <c r="T12" s="12" t="n">
        <v>5.05383</v>
      </c>
      <c r="U12" s="12" t="n">
        <v>5.056691</v>
      </c>
      <c r="V12" s="12" t="n">
        <v>5.062908</v>
      </c>
      <c r="W12" s="12" t="n">
        <v>5.10031</v>
      </c>
      <c r="X12" s="12" t="n">
        <v>5.158827</v>
      </c>
      <c r="Y12" s="12" t="n">
        <v>5.188293</v>
      </c>
      <c r="Z12" s="12" t="n">
        <v>5.265188</v>
      </c>
      <c r="AA12" s="12" t="n">
        <v>5.145208</v>
      </c>
      <c r="AB12" s="12" t="n">
        <v>5.170206</v>
      </c>
      <c r="AC12" s="12" t="n">
        <v>5.180577</v>
      </c>
      <c r="AD12" s="12" t="n">
        <v>5.147123</v>
      </c>
      <c r="AE12" s="12" t="n">
        <v>5.141497</v>
      </c>
      <c r="AF12" s="12" t="n">
        <v>5.07536</v>
      </c>
      <c r="AG12" s="12" t="n">
        <v>5.087058</v>
      </c>
      <c r="AH12" s="12" t="n">
        <v>5.094358</v>
      </c>
      <c r="AI12" s="12" t="n">
        <v>5.105313</v>
      </c>
      <c r="AJ12" s="12" t="n">
        <v>5.097632</v>
      </c>
      <c r="AK12" s="12" t="n">
        <v>5.027749</v>
      </c>
      <c r="AL12" s="12" t="n">
        <v>5.033045</v>
      </c>
      <c r="AM12" s="12" t="n">
        <v>5.014115</v>
      </c>
      <c r="AO12" s="12">
        <f>E12-D12</f>
        <v/>
      </c>
      <c r="AP12" s="12">
        <f>F12-E12</f>
        <v/>
      </c>
      <c r="AQ12" s="12">
        <f>G12-F12</f>
        <v/>
      </c>
      <c r="AR12" s="12">
        <f>H12-G12</f>
        <v/>
      </c>
      <c r="AS12" s="12">
        <f>I12-H12</f>
        <v/>
      </c>
      <c r="AT12" s="12">
        <f>J12-I12</f>
        <v/>
      </c>
      <c r="AU12" s="12">
        <f>K12-J12</f>
        <v/>
      </c>
      <c r="AV12" s="12">
        <f>L12-K12</f>
        <v/>
      </c>
      <c r="AW12" s="12">
        <f>M12-L12</f>
        <v/>
      </c>
      <c r="AX12" s="12">
        <f>N12-M12</f>
        <v/>
      </c>
      <c r="AY12" s="12">
        <f>O12-N12</f>
        <v/>
      </c>
      <c r="AZ12" s="12">
        <f>P12-O12</f>
        <v/>
      </c>
      <c r="BA12" s="12">
        <f>Q12-P12</f>
        <v/>
      </c>
      <c r="BB12" s="12">
        <f>R12-Q12</f>
        <v/>
      </c>
      <c r="BC12" s="12">
        <f>S12-R12</f>
        <v/>
      </c>
      <c r="BD12" s="12">
        <f>T12-S12</f>
        <v/>
      </c>
      <c r="BE12" s="12">
        <f>U12-T12</f>
        <v/>
      </c>
      <c r="BF12" s="12">
        <f>V12-U12</f>
        <v/>
      </c>
      <c r="BG12" s="12">
        <f>W12-V12</f>
        <v/>
      </c>
      <c r="BH12" s="12">
        <f>X12-W12</f>
        <v/>
      </c>
      <c r="BI12" s="12">
        <f>Y12-X12</f>
        <v/>
      </c>
      <c r="BJ12" s="12">
        <f>Z12-Y12</f>
        <v/>
      </c>
      <c r="BK12" s="12">
        <f>AA12-Z12</f>
        <v/>
      </c>
      <c r="BL12" s="12">
        <f>AB12-AA12</f>
        <v/>
      </c>
      <c r="BM12" s="12">
        <f>AC12-AB12</f>
        <v/>
      </c>
      <c r="BN12" s="12">
        <f>AD12-AC12</f>
        <v/>
      </c>
      <c r="BO12" s="12">
        <f>AE12-AD12</f>
        <v/>
      </c>
      <c r="BP12" s="12">
        <f>AF12-AE12</f>
        <v/>
      </c>
      <c r="BQ12" s="12">
        <f>AG12-AF12</f>
        <v/>
      </c>
      <c r="BR12" s="12">
        <f>AH12-AG12</f>
        <v/>
      </c>
      <c r="BS12" s="12">
        <f>AI12-AH12</f>
        <v/>
      </c>
      <c r="BT12" s="12">
        <f>AJ12-AI12</f>
        <v/>
      </c>
      <c r="BU12" s="12">
        <f>AK12-AJ12</f>
        <v/>
      </c>
      <c r="BV12" s="12">
        <f>AL12-AK12</f>
        <v/>
      </c>
      <c r="BW12" s="12">
        <f>AM12-AL12</f>
        <v/>
      </c>
      <c r="BY12" s="12">
        <f>H12-D12</f>
        <v/>
      </c>
      <c r="BZ12" s="12">
        <f>I12-E12</f>
        <v/>
      </c>
      <c r="CA12" s="12">
        <f>J12-F12</f>
        <v/>
      </c>
      <c r="CB12" s="12">
        <f>K12-G12</f>
        <v/>
      </c>
      <c r="CC12" s="12">
        <f>L12-H12</f>
        <v/>
      </c>
      <c r="CD12" s="12">
        <f>M12-I12</f>
        <v/>
      </c>
      <c r="CE12" s="12">
        <f>N12-J12</f>
        <v/>
      </c>
      <c r="CF12" s="12">
        <f>O12-K12</f>
        <v/>
      </c>
      <c r="CG12" s="12">
        <f>P12-L12</f>
        <v/>
      </c>
      <c r="CH12" s="12">
        <f>Q12-M12</f>
        <v/>
      </c>
      <c r="CI12" s="12">
        <f>R12-N12</f>
        <v/>
      </c>
      <c r="CJ12" s="12">
        <f>S12-O12</f>
        <v/>
      </c>
      <c r="CK12" s="12">
        <f>T12-P12</f>
        <v/>
      </c>
      <c r="CL12" s="12">
        <f>U12-Q12</f>
        <v/>
      </c>
      <c r="CM12" s="12">
        <f>V12-R12</f>
        <v/>
      </c>
      <c r="CN12" s="12">
        <f>W12-S12</f>
        <v/>
      </c>
      <c r="CO12" s="12">
        <f>X12-T12</f>
        <v/>
      </c>
      <c r="CP12" s="12">
        <f>Y12-U12</f>
        <v/>
      </c>
      <c r="CQ12" s="12">
        <f>Z12-V12</f>
        <v/>
      </c>
      <c r="CR12" s="12">
        <f>AA12-W12</f>
        <v/>
      </c>
      <c r="CS12" s="12">
        <f>AB12-X12</f>
        <v/>
      </c>
      <c r="CT12" s="12">
        <f>AC12-Y12</f>
        <v/>
      </c>
      <c r="CU12" s="12">
        <f>AD12-Z12</f>
        <v/>
      </c>
      <c r="CV12" s="12">
        <f>AE12-AA12</f>
        <v/>
      </c>
      <c r="CW12" s="12">
        <f>AF12-AB12</f>
        <v/>
      </c>
      <c r="CX12" s="12">
        <f>AG12-AC12</f>
        <v/>
      </c>
      <c r="CY12" s="12">
        <f>AH12-AD12</f>
        <v/>
      </c>
      <c r="CZ12" s="12">
        <f>AI12-AE12</f>
        <v/>
      </c>
      <c r="DA12" s="12">
        <f>AJ12-AF12</f>
        <v/>
      </c>
      <c r="DB12" s="12">
        <f>AK12-AG12</f>
        <v/>
      </c>
      <c r="DC12" s="12">
        <f>AL12-AH12</f>
        <v/>
      </c>
      <c r="DD12" s="12">
        <f>AM12-AI12</f>
        <v/>
      </c>
    </row>
    <row r="13">
      <c r="A13" s="4" t="inlineStr">
        <is>
          <t>PD — прочие</t>
        </is>
      </c>
      <c r="B13" s="16" t="inlineStr">
        <is>
          <t>RB</t>
        </is>
      </c>
      <c r="C13" s="15" t="n">
        <v>14</v>
      </c>
      <c r="D13" s="12" t="n">
        <v>5.170665</v>
      </c>
      <c r="E13" s="12" t="n">
        <v>4.970544</v>
      </c>
      <c r="F13" s="12" t="n">
        <v>4.914703</v>
      </c>
      <c r="G13" s="12" t="n">
        <v>4.891764</v>
      </c>
      <c r="H13" s="12" t="n">
        <v>4.888883</v>
      </c>
      <c r="I13" s="12" t="n">
        <v>4.727811</v>
      </c>
      <c r="J13" s="12" t="n">
        <v>4.681111</v>
      </c>
      <c r="K13" s="12" t="n">
        <v>4.61092</v>
      </c>
      <c r="L13" s="12" t="n">
        <v>4.614513</v>
      </c>
      <c r="M13" s="12" t="n">
        <v>4.586092</v>
      </c>
      <c r="N13" s="12" t="n">
        <v>4.54441</v>
      </c>
      <c r="O13" s="12" t="n">
        <v>4.62125</v>
      </c>
      <c r="P13" s="12" t="n">
        <v>4.498773</v>
      </c>
      <c r="Q13" s="12" t="n">
        <v>4.443795</v>
      </c>
      <c r="R13" s="12" t="n">
        <v>4.469202</v>
      </c>
      <c r="S13" s="12" t="n">
        <v>4.463136</v>
      </c>
      <c r="T13" s="12" t="n">
        <v>4.299537</v>
      </c>
      <c r="U13" s="12" t="n">
        <v>4.234974</v>
      </c>
      <c r="V13" s="12" t="n">
        <v>4.355903</v>
      </c>
      <c r="W13" s="12" t="n">
        <v>4.396757</v>
      </c>
      <c r="X13" s="12" t="n">
        <v>4.471538</v>
      </c>
      <c r="Y13" s="12" t="n">
        <v>4.195269</v>
      </c>
      <c r="Z13" s="12" t="n">
        <v>4.12505</v>
      </c>
      <c r="AA13" s="12" t="n">
        <v>4.047016</v>
      </c>
      <c r="AB13" s="12" t="n">
        <v>4.042882</v>
      </c>
      <c r="AC13" s="12" t="n">
        <v>3.989124</v>
      </c>
      <c r="AD13" s="12" t="n">
        <v>4.268485</v>
      </c>
      <c r="AE13" s="12" t="n">
        <v>4.285341</v>
      </c>
      <c r="AF13" s="12" t="n">
        <v>4.248105</v>
      </c>
      <c r="AG13" s="12" t="n">
        <v>4.089569</v>
      </c>
      <c r="AH13" s="12" t="n">
        <v>3.828689</v>
      </c>
      <c r="AI13" s="12" t="n">
        <v>3.845012</v>
      </c>
      <c r="AJ13" s="12" t="n">
        <v>3.778529</v>
      </c>
      <c r="AK13" s="12" t="n">
        <v>3.723774</v>
      </c>
      <c r="AL13" s="12" t="n">
        <v>3.646836</v>
      </c>
      <c r="AM13" s="12" t="n">
        <v>3.654987</v>
      </c>
      <c r="AO13" s="12">
        <f>E13-D13</f>
        <v/>
      </c>
      <c r="AP13" s="12">
        <f>F13-E13</f>
        <v/>
      </c>
      <c r="AQ13" s="12">
        <f>G13-F13</f>
        <v/>
      </c>
      <c r="AR13" s="12">
        <f>H13-G13</f>
        <v/>
      </c>
      <c r="AS13" s="12">
        <f>I13-H13</f>
        <v/>
      </c>
      <c r="AT13" s="12">
        <f>J13-I13</f>
        <v/>
      </c>
      <c r="AU13" s="12">
        <f>K13-J13</f>
        <v/>
      </c>
      <c r="AV13" s="12">
        <f>L13-K13</f>
        <v/>
      </c>
      <c r="AW13" s="12">
        <f>M13-L13</f>
        <v/>
      </c>
      <c r="AX13" s="12">
        <f>N13-M13</f>
        <v/>
      </c>
      <c r="AY13" s="12">
        <f>O13-N13</f>
        <v/>
      </c>
      <c r="AZ13" s="12">
        <f>P13-O13</f>
        <v/>
      </c>
      <c r="BA13" s="12">
        <f>Q13-P13</f>
        <v/>
      </c>
      <c r="BB13" s="12">
        <f>R13-Q13</f>
        <v/>
      </c>
      <c r="BC13" s="12">
        <f>S13-R13</f>
        <v/>
      </c>
      <c r="BD13" s="12">
        <f>T13-S13</f>
        <v/>
      </c>
      <c r="BE13" s="12">
        <f>U13-T13</f>
        <v/>
      </c>
      <c r="BF13" s="12">
        <f>V13-U13</f>
        <v/>
      </c>
      <c r="BG13" s="12">
        <f>W13-V13</f>
        <v/>
      </c>
      <c r="BH13" s="12">
        <f>X13-W13</f>
        <v/>
      </c>
      <c r="BI13" s="12">
        <f>Y13-X13</f>
        <v/>
      </c>
      <c r="BJ13" s="12">
        <f>Z13-Y13</f>
        <v/>
      </c>
      <c r="BK13" s="12">
        <f>AA13-Z13</f>
        <v/>
      </c>
      <c r="BL13" s="12">
        <f>AB13-AA13</f>
        <v/>
      </c>
      <c r="BM13" s="12">
        <f>AC13-AB13</f>
        <v/>
      </c>
      <c r="BN13" s="12">
        <f>AD13-AC13</f>
        <v/>
      </c>
      <c r="BO13" s="12">
        <f>AE13-AD13</f>
        <v/>
      </c>
      <c r="BP13" s="12">
        <f>AF13-AE13</f>
        <v/>
      </c>
      <c r="BQ13" s="12">
        <f>AG13-AF13</f>
        <v/>
      </c>
      <c r="BR13" s="12">
        <f>AH13-AG13</f>
        <v/>
      </c>
      <c r="BS13" s="12">
        <f>AI13-AH13</f>
        <v/>
      </c>
      <c r="BT13" s="12">
        <f>AJ13-AI13</f>
        <v/>
      </c>
      <c r="BU13" s="12">
        <f>AK13-AJ13</f>
        <v/>
      </c>
      <c r="BV13" s="12">
        <f>AL13-AK13</f>
        <v/>
      </c>
      <c r="BW13" s="12">
        <f>AM13-AL13</f>
        <v/>
      </c>
      <c r="BY13" s="12">
        <f>H13-D13</f>
        <v/>
      </c>
      <c r="BZ13" s="12">
        <f>I13-E13</f>
        <v/>
      </c>
      <c r="CA13" s="12">
        <f>J13-F13</f>
        <v/>
      </c>
      <c r="CB13" s="12">
        <f>K13-G13</f>
        <v/>
      </c>
      <c r="CC13" s="12">
        <f>L13-H13</f>
        <v/>
      </c>
      <c r="CD13" s="12">
        <f>M13-I13</f>
        <v/>
      </c>
      <c r="CE13" s="12">
        <f>N13-J13</f>
        <v/>
      </c>
      <c r="CF13" s="12">
        <f>O13-K13</f>
        <v/>
      </c>
      <c r="CG13" s="12">
        <f>P13-L13</f>
        <v/>
      </c>
      <c r="CH13" s="12">
        <f>Q13-M13</f>
        <v/>
      </c>
      <c r="CI13" s="12">
        <f>R13-N13</f>
        <v/>
      </c>
      <c r="CJ13" s="12">
        <f>S13-O13</f>
        <v/>
      </c>
      <c r="CK13" s="12">
        <f>T13-P13</f>
        <v/>
      </c>
      <c r="CL13" s="12">
        <f>U13-Q13</f>
        <v/>
      </c>
      <c r="CM13" s="12">
        <f>V13-R13</f>
        <v/>
      </c>
      <c r="CN13" s="12">
        <f>W13-S13</f>
        <v/>
      </c>
      <c r="CO13" s="12">
        <f>X13-T13</f>
        <v/>
      </c>
      <c r="CP13" s="12">
        <f>Y13-U13</f>
        <v/>
      </c>
      <c r="CQ13" s="12">
        <f>Z13-V13</f>
        <v/>
      </c>
      <c r="CR13" s="12">
        <f>AA13-W13</f>
        <v/>
      </c>
      <c r="CS13" s="12">
        <f>AB13-X13</f>
        <v/>
      </c>
      <c r="CT13" s="12">
        <f>AC13-Y13</f>
        <v/>
      </c>
      <c r="CU13" s="12">
        <f>AD13-Z13</f>
        <v/>
      </c>
      <c r="CV13" s="12">
        <f>AE13-AA13</f>
        <v/>
      </c>
      <c r="CW13" s="12">
        <f>AF13-AB13</f>
        <v/>
      </c>
      <c r="CX13" s="12">
        <f>AG13-AC13</f>
        <v/>
      </c>
      <c r="CY13" s="12">
        <f>AH13-AD13</f>
        <v/>
      </c>
      <c r="CZ13" s="12">
        <f>AI13-AE13</f>
        <v/>
      </c>
      <c r="DA13" s="12">
        <f>AJ13-AF13</f>
        <v/>
      </c>
      <c r="DB13" s="12">
        <f>AK13-AG13</f>
        <v/>
      </c>
      <c r="DC13" s="12">
        <f>AL13-AH13</f>
        <v/>
      </c>
      <c r="DD13" s="12">
        <f>AM13-AI13</f>
        <v/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8" customWidth="1" min="6" max="6"/>
    <col width="8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24" customWidth="1" min="14" max="14"/>
    <col width="9" customWidth="1" min="15" max="15"/>
    <col width="6" customWidth="1" min="16" max="16"/>
    <col width="10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8" t="inlineStr">
        <is>
          <t>Показатель</t>
        </is>
      </c>
      <c r="B4" s="8" t="inlineStr">
        <is>
          <t>Формула словами</t>
        </is>
      </c>
      <c r="C4" s="8" t="inlineStr">
        <is>
          <t>Формула в этой книге</t>
        </is>
      </c>
      <c r="D4" s="8" t="inlineStr">
        <is>
          <t>Значение</t>
        </is>
      </c>
      <c r="E4" s="8" t="inlineStr">
        <is>
          <t>Где напечатано</t>
        </is>
      </c>
    </row>
    <row r="5">
      <c r="A5" s="28" t="inlineStr">
        <is>
          <t>1. База: что даёт сам ряд</t>
        </is>
      </c>
      <c r="B5" s="29" t="n"/>
      <c r="C5" s="29" t="n"/>
      <c r="D5" s="29" t="n"/>
      <c r="E5" s="29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9" t="inlineStr">
        <is>
          <t>STDEV(d)</t>
        </is>
      </c>
      <c r="D6" s="30">
        <f>STDEV(d)</f>
        <v/>
      </c>
      <c r="E6" s="20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9" t="inlineStr">
        <is>
          <t>STDEV(v)</t>
        </is>
      </c>
      <c r="D7" s="30">
        <f>STDEV(v)</f>
        <v/>
      </c>
      <c r="E7" s="20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9" t="inlineStr">
        <is>
          <t>Ряд!H40</t>
        </is>
      </c>
      <c r="D8" s="30">
        <f>Ряд!H40</f>
        <v/>
      </c>
      <c r="E8" s="20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9" t="inlineStr">
        <is>
          <t>MAX(v)</t>
        </is>
      </c>
      <c r="D9" s="30">
        <f>MAX(v)</f>
        <v/>
      </c>
      <c r="E9" s="20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9" t="inlineStr">
        <is>
          <t>COUNT(v)</t>
        </is>
      </c>
      <c r="D10" s="23">
        <f>COUNT(v)</f>
        <v/>
      </c>
      <c r="E10" s="20" t="inlineStr">
        <is>
          <t>DISCLOSURE § 1</t>
        </is>
      </c>
    </row>
    <row r="11">
      <c r="A11" s="28" t="inlineStr">
        <is>
          <t>2. Уровень</t>
        </is>
      </c>
      <c r="B11" s="29" t="n"/>
      <c r="C11" s="29" t="n"/>
      <c r="D11" s="29" t="n"/>
      <c r="E11" s="29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9" t="inlineStr">
        <is>
          <t>L_reg/k_G26</t>
        </is>
      </c>
      <c r="D12" s="30">
        <f>L_reg/k_G26</f>
        <v/>
      </c>
      <c r="E12" s="20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9" t="inlineStr">
        <is>
          <t>(1-D24/D12)*100</t>
        </is>
      </c>
      <c r="D13" s="30">
        <f>(1-D24/D12)*100</f>
        <v/>
      </c>
      <c r="E13" s="20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8" t="inlineStr">
        <is>
          <t>3. Запас на реагирование M(T) = z(p) · σ_Δ · √T и границы L − M(T)</t>
        </is>
      </c>
      <c r="B15" s="29" t="n"/>
      <c r="C15" s="29" t="n"/>
      <c r="D15" s="29" t="n"/>
      <c r="E15" s="29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9" t="inlineStr">
        <is>
          <t>z_p*D6*SQRT(1)</t>
        </is>
      </c>
      <c r="D16" s="30">
        <f>z_p*D6*SQRT(1)</f>
        <v/>
      </c>
      <c r="E16" s="20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9" t="inlineStr">
        <is>
          <t>D12-D16</t>
        </is>
      </c>
      <c r="D17" s="30">
        <f>D12-D16</f>
        <v/>
      </c>
      <c r="E17" s="20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9" t="inlineStr">
        <is>
          <t>COUNTIF(v,"&gt;="&amp;D17)</t>
        </is>
      </c>
      <c r="D18" s="23">
        <f>COUNTIF(v,"&gt;="&amp;D17)</f>
        <v/>
      </c>
      <c r="E18" s="20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9" t="inlineStr">
        <is>
          <t>COUNTIF(v,"&gt;="&amp;D17)/COUNT(v)*100</t>
        </is>
      </c>
      <c r="D19" s="24">
        <f>COUNTIF(v,"&gt;="&amp;D17)/COUNT(v)*100</f>
        <v/>
      </c>
      <c r="E19" s="20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9" t="inlineStr">
        <is>
          <t>z_p*D6*SQRT(2)</t>
        </is>
      </c>
      <c r="D20" s="30">
        <f>z_p*D6*SQRT(2)</f>
        <v/>
      </c>
      <c r="E20" s="20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9" t="inlineStr">
        <is>
          <t>D12-D20</t>
        </is>
      </c>
      <c r="D21" s="30">
        <f>D12-D20</f>
        <v/>
      </c>
      <c r="E21" s="20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9" t="inlineStr">
        <is>
          <t>COUNTIF(v,"&gt;="&amp;D21)</t>
        </is>
      </c>
      <c r="D22" s="23">
        <f>COUNTIF(v,"&gt;="&amp;D21)</f>
        <v/>
      </c>
      <c r="E22" s="20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9" t="inlineStr">
        <is>
          <t>COUNTIF(v,"&gt;="&amp;D21)/COUNT(v)*100</t>
        </is>
      </c>
      <c r="D23" s="24">
        <f>COUNTIF(v,"&gt;="&amp;D21)/COUNT(v)*100</f>
        <v/>
      </c>
      <c r="E23" s="20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9" t="inlineStr">
        <is>
          <t>z_p*D6*SQRT(3)</t>
        </is>
      </c>
      <c r="D24" s="30">
        <f>z_p*D6*SQRT(3)</f>
        <v/>
      </c>
      <c r="E24" s="20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9" t="inlineStr">
        <is>
          <t>D12-D24</t>
        </is>
      </c>
      <c r="D25" s="30">
        <f>D12-D24</f>
        <v/>
      </c>
      <c r="E25" s="20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9" t="inlineStr">
        <is>
          <t>COUNTIF(v,"&gt;="&amp;D25)</t>
        </is>
      </c>
      <c r="D26" s="23">
        <f>COUNTIF(v,"&gt;="&amp;D25)</f>
        <v/>
      </c>
      <c r="E26" s="20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9" t="inlineStr">
        <is>
          <t>COUNTIF(v,"&gt;="&amp;D25)/COUNT(v)*100</t>
        </is>
      </c>
      <c r="D27" s="24">
        <f>COUNTIF(v,"&gt;="&amp;D25)/COUNT(v)*100</f>
        <v/>
      </c>
      <c r="E27" s="20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9" t="inlineStr">
        <is>
          <t>z_p*D6*SQRT(4)</t>
        </is>
      </c>
      <c r="D28" s="30">
        <f>z_p*D6*SQRT(4)</f>
        <v/>
      </c>
      <c r="E28" s="20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9" t="inlineStr">
        <is>
          <t>D12-D28</t>
        </is>
      </c>
      <c r="D29" s="30">
        <f>D12-D28</f>
        <v/>
      </c>
      <c r="E29" s="20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9" t="inlineStr">
        <is>
          <t>COUNTIF(v,"&gt;="&amp;D29)</t>
        </is>
      </c>
      <c r="D30" s="23">
        <f>COUNTIF(v,"&gt;="&amp;D29)</f>
        <v/>
      </c>
      <c r="E30" s="20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9" t="inlineStr">
        <is>
          <t>COUNTIF(v,"&gt;="&amp;D29)/COUNT(v)*100</t>
        </is>
      </c>
      <c r="D31" s="24">
        <f>COUNTIF(v,"&gt;="&amp;D29)/COUNT(v)*100</f>
        <v/>
      </c>
      <c r="E31" s="20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8" t="inlineStr">
        <is>
          <t>4. Квантили ряда (метод C). Линейная интерполяция между порядковыми статистиками</t>
        </is>
      </c>
      <c r="B33" s="29" t="n"/>
      <c r="C33" s="29" t="n"/>
      <c r="D33" s="29" t="n"/>
      <c r="E33" s="29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9" t="inlineStr">
        <is>
          <t>PERCENTILE(v,0.85)</t>
        </is>
      </c>
      <c r="D34" s="30">
        <f>PERCENTILE(v,0.85)</f>
        <v/>
      </c>
      <c r="E34" s="20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9" t="inlineStr">
        <is>
          <t>PERCENTILE(v,0.90)</t>
        </is>
      </c>
      <c r="D35" s="30">
        <f>PERCENTILE(v,0.90)</f>
        <v/>
      </c>
      <c r="E35" s="20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9" t="inlineStr">
        <is>
          <t>PERCENTILE(v,0.95)</t>
        </is>
      </c>
      <c r="D36" s="30">
        <f>PERCENTILE(v,0.95)</f>
        <v/>
      </c>
      <c r="E36" s="20" t="inlineStr">
        <is>
          <t>DISCLOSURE § 2.5</t>
        </is>
      </c>
    </row>
    <row r="37">
      <c r="A37" s="28" t="inlineStr">
        <is>
          <t>5. Два независимых пути к одному уровню</t>
        </is>
      </c>
      <c r="B37" s="29" t="n"/>
      <c r="C37" s="29" t="n"/>
      <c r="D37" s="29" t="n"/>
      <c r="E37" s="29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9" t="inlineStr">
        <is>
          <t>D35+D24</t>
        </is>
      </c>
      <c r="D38" s="30">
        <f>D35+D24</f>
        <v/>
      </c>
      <c r="E38" s="20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9" t="inlineStr">
        <is>
          <t>D12-D38</t>
        </is>
      </c>
      <c r="D39" s="30">
        <f>D12-D38</f>
        <v/>
      </c>
      <c r="E39" s="20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8" t="inlineStr">
        <is>
          <t>6. Производные метрики</t>
        </is>
      </c>
      <c r="B41" s="29" t="n"/>
      <c r="C41" s="29" t="n"/>
      <c r="D41" s="29" t="n"/>
      <c r="E41" s="29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9" t="inlineStr">
        <is>
          <t>(D12-D8)/D6</t>
        </is>
      </c>
      <c r="D42" s="25">
        <f>(D12-D8)/D6</f>
        <v/>
      </c>
      <c r="E42" s="20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9" t="inlineStr">
        <is>
          <t>(L_reg-D8)/D6</t>
        </is>
      </c>
      <c r="D43" s="25">
        <f>(L_reg-D8)/D6</f>
        <v/>
      </c>
      <c r="E43" s="20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9" t="inlineStr">
        <is>
          <t>(D8/D12-1)*100</t>
        </is>
      </c>
      <c r="D44" s="18">
        <f>(D8/D12-1)*100</f>
        <v/>
      </c>
      <c r="E44" s="20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9" t="inlineStr">
        <is>
          <t>((D12-D8)/(z_p*D6))^2</t>
        </is>
      </c>
      <c r="D45" s="30">
        <f>((D12-D8)/(z_p*D6))^2</f>
        <v/>
      </c>
      <c r="E45" s="20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8" t="inlineStr">
        <is>
          <t>7. Цена решения «уровень не трогаем»: обратный счёт при L = 95</t>
        </is>
      </c>
      <c r="B47" s="29" t="n"/>
      <c r="C47" s="29" t="n"/>
      <c r="D47" s="29" t="n"/>
      <c r="E47" s="29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9" t="inlineStr">
        <is>
          <t>L_reg-D24</t>
        </is>
      </c>
      <c r="D48" s="30">
        <f>L_reg-D24</f>
        <v/>
      </c>
      <c r="E48" s="20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9" t="inlineStr">
        <is>
          <t>COUNTIF(v,"&gt;="&amp;D48)</t>
        </is>
      </c>
      <c r="D49" s="23">
        <f>COUNTIF(v,"&gt;="&amp;D48)</f>
        <v/>
      </c>
      <c r="E49" s="20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9" t="inlineStr">
        <is>
          <t>COUNTIF(v,"&gt;="&amp;D48)/COUNT(v)*100</t>
        </is>
      </c>
      <c r="D50" s="24">
        <f>COUNTIF(v,"&gt;="&amp;D48)/COUNT(v)*100</f>
        <v/>
      </c>
      <c r="E50" s="20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  <row r="52">
      <c r="A52" s="28" t="inlineStr">
        <is>
          <t>8. Проверка нормальности: какая метрика каким методом размечается</t>
        </is>
      </c>
      <c r="B52" s="29" t="n"/>
      <c r="C52" s="29" t="n"/>
      <c r="D52" s="29" t="n"/>
      <c r="E52" s="29" t="n"/>
    </row>
    <row r="53" ht="46" customHeight="1">
      <c r="A53" s="2" t="inlineStr">
        <is>
          <t>Проверка встроена в расчёт, а не вынесена отдельно: от неё зависит, какой формулой считается зона каждой из двенадцати метрик. Развилка описана на листе «Как защищать», её параметры (α, A²_крит, τ) — на «Параметры». Таблица ниже — короткий расчёт по каждой метрике; полные границы зон и их применение — на листе «Метрики».</t>
        </is>
      </c>
    </row>
    <row r="55" ht="34" customHeight="1">
      <c r="A55" s="8" t="inlineStr">
        <is>
          <t>Метрика</t>
        </is>
      </c>
      <c r="B55" s="8" t="inlineStr">
        <is>
          <t>Ряд приращений</t>
        </is>
      </c>
      <c r="C55" s="8" t="inlineStr">
        <is>
          <t>Вердикт формальный</t>
        </is>
      </c>
      <c r="D55" s="8" t="inlineStr">
        <is>
          <t>Жарк-Бера</t>
        </is>
      </c>
      <c r="E55" s="8" t="inlineStr">
        <is>
          <t>Что это значит для метода</t>
        </is>
      </c>
      <c r="F55" s="8" t="inlineStr">
        <is>
          <t>Асим.</t>
        </is>
      </c>
      <c r="G55" s="8" t="inlineStr">
        <is>
          <t>Экс.</t>
        </is>
      </c>
      <c r="H55" s="8" t="inlineStr">
        <is>
          <t>p(ЖБ)</t>
        </is>
      </c>
      <c r="I55" s="8" t="inlineStr">
        <is>
          <t>Шапиро p ⚠</t>
        </is>
      </c>
      <c r="J55" s="8" t="inlineStr">
        <is>
          <t>Андерсон ⚠</t>
        </is>
      </c>
      <c r="K55" s="8" t="inlineStr">
        <is>
          <t>M(4) модель</t>
        </is>
      </c>
      <c r="L55" s="8" t="inlineStr">
        <is>
          <t>Q90(4м) факт</t>
        </is>
      </c>
      <c r="M55" s="8" t="inlineStr">
        <is>
          <t>Расх., %</t>
        </is>
      </c>
      <c r="N55" s="8" t="inlineStr">
        <is>
          <t>МЕТОД</t>
        </is>
      </c>
      <c r="P55" s="31" t="inlineStr">
        <is>
          <t>n</t>
        </is>
      </c>
      <c r="Q55" s="31" t="inlineStr">
        <is>
          <t>среднее</t>
        </is>
      </c>
      <c r="R55" s="31" t="inlineStr">
        <is>
          <t>m₂</t>
        </is>
      </c>
      <c r="S55" s="31" t="inlineStr">
        <is>
          <t>m₃</t>
        </is>
      </c>
      <c r="T55" s="31" t="inlineStr">
        <is>
          <t>m₄</t>
        </is>
      </c>
    </row>
    <row r="56" ht="30" customHeight="1">
      <c r="A56" s="4" t="inlineStr">
        <is>
          <t>Топ-20 / СК</t>
        </is>
      </c>
      <c r="B56" s="19" t="inlineStr">
        <is>
          <t>Ряд!J6:J40</t>
        </is>
      </c>
      <c r="C56" s="32">
        <f>IF(AND(H56&gt;alpha,I56&gt;alpha,J56&lt;ad_crit),"нормально","НЕ нормально")</f>
        <v/>
      </c>
      <c r="D56" s="25">
        <f>P56/6*(F56^2+(G56-3)^2/4)</f>
        <v/>
      </c>
      <c r="E56" s="20" t="inlineStr">
        <is>
          <t>Единственная метрика, проходящая все три критерия и решающую проверку. M(T) применяется без оговорок</t>
        </is>
      </c>
      <c r="F56" s="33">
        <f>S56/R56^1.5</f>
        <v/>
      </c>
      <c r="G56" s="15">
        <f>T56/R56^2</f>
        <v/>
      </c>
      <c r="H56" s="12">
        <f>CHIDIST(D56,2)</f>
        <v/>
      </c>
      <c r="I56" s="34" t="n">
        <v>0.1099847986</v>
      </c>
      <c r="J56" s="34" t="n">
        <v>0.6204555399</v>
      </c>
      <c r="K56" s="12">
        <f>z_p*STDEV('Ряд'!J6:J40)*SQRT(4)</f>
        <v/>
      </c>
      <c r="L56" s="12">
        <f>PERCENTILE('Ряд'!AF9:AF40,p_conf)</f>
        <v/>
      </c>
      <c r="M56" s="18">
        <f>(K56-L56)/ABS(L56)*100</f>
        <v/>
      </c>
      <c r="N56" s="35">
        <f>IF(K56&gt;=O56,"ЗАМЕНА: вырожден",IF(ABS(M56)&lt;=tau*100,"M(T) — совпадает",IF(M56&lt;0,"ЗАМЕНА: занижает","M(T) — консервативна")))</f>
        <v/>
      </c>
      <c r="O56" s="34">
        <f>'Метрики'!C5</f>
        <v/>
      </c>
      <c r="P56" s="36">
        <f>COUNT('Ряд'!J6:J40)</f>
        <v/>
      </c>
      <c r="Q56" s="34">
        <f>AVERAGE('Ряд'!J6:J40)</f>
        <v/>
      </c>
      <c r="R56" s="37">
        <f>SUMPRODUCT(('Ряд'!J6:J40-Q56)^2)/P56</f>
        <v/>
      </c>
      <c r="S56" s="37">
        <f>SUMPRODUCT(('Ряд'!J6:J40-Q56)^3)/P56</f>
        <v/>
      </c>
      <c r="T56" s="37">
        <f>SUMPRODUCT(('Ряд'!J6:J40-Q56)^4)/P56</f>
        <v/>
      </c>
    </row>
    <row r="57" ht="30" customHeight="1">
      <c r="A57" s="4" t="inlineStr">
        <is>
          <t>CoR КБ/ПБ</t>
        </is>
      </c>
      <c r="B57" s="19" t="inlineStr">
        <is>
          <t>Ряд!P6:P40</t>
        </is>
      </c>
      <c r="C57" s="38">
        <f>IF(AND(H57&gt;alpha,I57&gt;alpha,J57&lt;ad_crit),"нормально","НЕ нормально")</f>
        <v/>
      </c>
      <c r="D57" s="25">
        <f>P57/6*(F57^2+(G57-3)^2/4)</f>
        <v/>
      </c>
      <c r="E57" s="20" t="inlineStr">
        <is>
          <t>Буфер M(4) = 3,2850 больше самого лимита 3,00 — зона вырождается. Замена: эмпирический квантиль с режимным разделением (Г36)</t>
        </is>
      </c>
      <c r="F57" s="33">
        <f>S57/R57^1.5</f>
        <v/>
      </c>
      <c r="G57" s="15">
        <f>T57/R57^2</f>
        <v/>
      </c>
      <c r="H57" s="12">
        <f>CHIDIST(D57,2)</f>
        <v/>
      </c>
      <c r="I57" s="34" t="n">
        <v>4.009734e-06</v>
      </c>
      <c r="J57" s="34" t="n">
        <v>2.3835894115</v>
      </c>
      <c r="K57" s="12">
        <f>z_p*STDEV('Ряд'!P6:P40)*SQRT(4)</f>
        <v/>
      </c>
      <c r="L57" s="12">
        <f>PERCENTILE('Ряд'!W9:W40,p_conf)</f>
        <v/>
      </c>
      <c r="M57" s="18">
        <f>(K57-L57)/ABS(L57)*100</f>
        <v/>
      </c>
      <c r="N57" s="35">
        <f>IF(K57&gt;=O57,"ЗАМЕНА: вырожден",IF(ABS(M57)&lt;=tau*100,"M(T) — совпадает",IF(M57&lt;0,"ЗАМЕНА: занижает","M(T) — консервативна")))</f>
        <v/>
      </c>
      <c r="O57" s="34">
        <f>'Метрики'!C6</f>
        <v/>
      </c>
      <c r="P57" s="36">
        <f>COUNT('Ряд'!P6:P40)</f>
        <v/>
      </c>
      <c r="Q57" s="34">
        <f>AVERAGE('Ряд'!P6:P40)</f>
        <v/>
      </c>
      <c r="R57" s="37">
        <f>SUMPRODUCT(('Ряд'!P6:P40-Q57)^2)/P57</f>
        <v/>
      </c>
      <c r="S57" s="37">
        <f>SUMPRODUCT(('Ряд'!P6:P40-Q57)^3)/P57</f>
        <v/>
      </c>
      <c r="T57" s="37">
        <f>SUMPRODUCT(('Ряд'!P6:P40-Q57)^4)/P57</f>
        <v/>
      </c>
    </row>
    <row r="58" ht="30" customHeight="1">
      <c r="A58" s="4" t="inlineStr">
        <is>
          <t>CoR МСБ</t>
        </is>
      </c>
      <c r="B58" s="19" t="inlineStr">
        <is>
          <t>Ряд!S6:S40</t>
        </is>
      </c>
      <c r="C58" s="38">
        <f>IF(AND(H58&gt;alpha,I58&gt;alpha,J58&lt;ad_crit),"нормально","НЕ нормально")</f>
        <v/>
      </c>
      <c r="D58" s="25">
        <f>P58/6*(F58^2+(G58-3)^2/4)</f>
        <v/>
      </c>
      <c r="E58" s="20" t="inlineStr">
        <is>
          <t>Завышение 28 %, чуть выше порога. Размечена тем же методом, что и КБ/ПБ, ради сопоставимости внутри пары</t>
        </is>
      </c>
      <c r="F58" s="33">
        <f>S58/R58^1.5</f>
        <v/>
      </c>
      <c r="G58" s="15">
        <f>T58/R58^2</f>
        <v/>
      </c>
      <c r="H58" s="12">
        <f>CHIDIST(D58,2)</f>
        <v/>
      </c>
      <c r="I58" s="34" t="n">
        <v>0.0002083049</v>
      </c>
      <c r="J58" s="34" t="n">
        <v>1.7661296444</v>
      </c>
      <c r="K58" s="12">
        <f>z_p*STDEV('Ряд'!S6:S40)*SQRT(4)</f>
        <v/>
      </c>
      <c r="L58" s="12">
        <f>PERCENTILE('Ряд'!AC9:AC40,p_conf)</f>
        <v/>
      </c>
      <c r="M58" s="18">
        <f>(K58-L58)/ABS(L58)*100</f>
        <v/>
      </c>
      <c r="N58" s="35">
        <f>IF(K58&gt;=O58,"ЗАМЕНА: вырожден",IF(ABS(M58)&lt;=tau*100,"M(T) — совпадает",IF(M58&lt;0,"ЗАМЕНА: занижает","M(T) — консервативна")))</f>
        <v/>
      </c>
      <c r="O58" s="34">
        <f>'Метрики'!C8</f>
        <v/>
      </c>
      <c r="P58" s="36">
        <f>COUNT('Ряд'!S6:S40)</f>
        <v/>
      </c>
      <c r="Q58" s="34">
        <f>AVERAGE('Ряд'!S6:S40)</f>
        <v/>
      </c>
      <c r="R58" s="37">
        <f>SUMPRODUCT(('Ряд'!S6:S40-Q58)^2)/P58</f>
        <v/>
      </c>
      <c r="S58" s="37">
        <f>SUMPRODUCT(('Ряд'!S6:S40-Q58)^3)/P58</f>
        <v/>
      </c>
      <c r="T58" s="37">
        <f>SUMPRODUCT(('Ряд'!S6:S40-Q58)^4)/P58</f>
        <v/>
      </c>
    </row>
    <row r="59" ht="30" customHeight="1">
      <c r="A59" s="4" t="inlineStr">
        <is>
          <t>EL — всего</t>
        </is>
      </c>
      <c r="B59" s="19" t="inlineStr">
        <is>
          <t>Метрики — ряд!AO5:BW5</t>
        </is>
      </c>
      <c r="C59" s="38">
        <f>IF(AND(H59&gt;alpha,I59&gt;alpha,J59&lt;ad_crit),"нормально","НЕ нормально")</f>
        <v/>
      </c>
      <c r="D59" s="25">
        <f>P59/6*(F59^2+(G59-3)^2/4)</f>
        <v/>
      </c>
      <c r="E59" s="20" t="inlineStr">
        <is>
          <t>Завышение 128 % — снос, а не хвосты: метрика падает три года, а M(T) считает снос нулевым. Завышение безопасно</t>
        </is>
      </c>
      <c r="F59" s="33">
        <f>S59/R59^1.5</f>
        <v/>
      </c>
      <c r="G59" s="15">
        <f>T59/R59^2</f>
        <v/>
      </c>
      <c r="H59" s="12">
        <f>CHIDIST(D59,2)</f>
        <v/>
      </c>
      <c r="I59" s="34" t="n">
        <v>0.0011683988</v>
      </c>
      <c r="J59" s="34" t="n">
        <v>1.0756103163</v>
      </c>
      <c r="K59" s="12">
        <f>z_p*STDEV('Метрики — ряд'!AO5:BW5)*SQRT(4)</f>
        <v/>
      </c>
      <c r="L59" s="12">
        <f>PERCENTILE('Метрики — ряд'!BY5:DD5,p_conf)</f>
        <v/>
      </c>
      <c r="M59" s="18">
        <f>(K59-L59)/ABS(L59)*100</f>
        <v/>
      </c>
      <c r="N59" s="35">
        <f>IF(K59&gt;=O59,"ЗАМЕНА: вырожден",IF(ABS(M59)&lt;=tau*100,"M(T) — совпадает",IF(M59&lt;0,"ЗАМЕНА: занижает","M(T) — консервативна")))</f>
        <v/>
      </c>
      <c r="O59" s="34">
        <f>'Метрики'!C10</f>
        <v/>
      </c>
      <c r="P59" s="36">
        <f>COUNT('Метрики — ряд'!AO5:BW5)</f>
        <v/>
      </c>
      <c r="Q59" s="34">
        <f>AVERAGE('Метрики — ряд'!AO5:BW5)</f>
        <v/>
      </c>
      <c r="R59" s="37">
        <f>SUMPRODUCT(('Метрики — ряд'!AO5:BW5-Q59)^2)/P59</f>
        <v/>
      </c>
      <c r="S59" s="37">
        <f>SUMPRODUCT(('Метрики — ряд'!AO5:BW5-Q59)^3)/P59</f>
        <v/>
      </c>
      <c r="T59" s="37">
        <f>SUMPRODUCT(('Метрики — ряд'!AO5:BW5-Q59)^4)/P59</f>
        <v/>
      </c>
    </row>
    <row r="60" ht="30" customHeight="1">
      <c r="A60" s="4" t="inlineStr">
        <is>
          <t>EL — необеспеченные</t>
        </is>
      </c>
      <c r="B60" s="19" t="inlineStr">
        <is>
          <t>Метрики — ряд!AO6:BW6</t>
        </is>
      </c>
      <c r="C60" s="38">
        <f>IF(AND(H60&gt;alpha,I60&gt;alpha,J60&lt;ad_crit),"нормально","НЕ нормально")</f>
        <v/>
      </c>
      <c r="D60" s="25">
        <f>P60/6*(F60^2+(G60-3)^2/4)</f>
        <v/>
      </c>
      <c r="E60" s="20" t="inlineStr">
        <is>
          <t>Завышение 28 %, на границе порога. Остаётся на M(T)</t>
        </is>
      </c>
      <c r="F60" s="33">
        <f>S60/R60^1.5</f>
        <v/>
      </c>
      <c r="G60" s="15">
        <f>T60/R60^2</f>
        <v/>
      </c>
      <c r="H60" s="12">
        <f>CHIDIST(D60,2)</f>
        <v/>
      </c>
      <c r="I60" s="34" t="n">
        <v>0.0621938562</v>
      </c>
      <c r="J60" s="34" t="n">
        <v>0.9552779899</v>
      </c>
      <c r="K60" s="12">
        <f>z_p*STDEV('Метрики — ряд'!AO6:BW6)*SQRT(4)</f>
        <v/>
      </c>
      <c r="L60" s="12">
        <f>PERCENTILE('Метрики — ряд'!BY6:DD6,p_conf)</f>
        <v/>
      </c>
      <c r="M60" s="18">
        <f>(K60-L60)/ABS(L60)*100</f>
        <v/>
      </c>
      <c r="N60" s="35">
        <f>IF(K60&gt;=O60,"ЗАМЕНА: вырожден",IF(ABS(M60)&lt;=tau*100,"M(T) — совпадает",IF(M60&lt;0,"ЗАМЕНА: занижает","M(T) — консервативна")))</f>
        <v/>
      </c>
      <c r="O60" s="34">
        <f>'Метрики'!C11</f>
        <v/>
      </c>
      <c r="P60" s="36">
        <f>COUNT('Метрики — ряд'!AO6:BW6)</f>
        <v/>
      </c>
      <c r="Q60" s="34">
        <f>AVERAGE('Метрики — ряд'!AO6:BW6)</f>
        <v/>
      </c>
      <c r="R60" s="37">
        <f>SUMPRODUCT(('Метрики — ряд'!AO6:BW6-Q60)^2)/P60</f>
        <v/>
      </c>
      <c r="S60" s="37">
        <f>SUMPRODUCT(('Метрики — ряд'!AO6:BW6-Q60)^3)/P60</f>
        <v/>
      </c>
      <c r="T60" s="37">
        <f>SUMPRODUCT(('Метрики — ряд'!AO6:BW6-Q60)^4)/P60</f>
        <v/>
      </c>
    </row>
    <row r="61" ht="30" customHeight="1">
      <c r="A61" s="4" t="inlineStr">
        <is>
          <t>EL — обеспеченные</t>
        </is>
      </c>
      <c r="B61" s="19" t="inlineStr">
        <is>
          <t>Метрики — ряд!AO7:BW7</t>
        </is>
      </c>
      <c r="C61" s="32">
        <f>IF(AND(H61&gt;alpha,I61&gt;alpha,J61&lt;ad_crit),"нормально","НЕ нормально")</f>
        <v/>
      </c>
      <c r="D61" s="25">
        <f>P61/6*(F61^2+(G61-3)^2/4)</f>
        <v/>
      </c>
      <c r="E61" s="20" t="inlineStr">
        <is>
          <t>Проходит решающую проверку: расхождение −14 %. M(T) применима</t>
        </is>
      </c>
      <c r="F61" s="33">
        <f>S61/R61^1.5</f>
        <v/>
      </c>
      <c r="G61" s="15">
        <f>T61/R61^2</f>
        <v/>
      </c>
      <c r="H61" s="12">
        <f>CHIDIST(D61,2)</f>
        <v/>
      </c>
      <c r="I61" s="34" t="n">
        <v>0.7485348703</v>
      </c>
      <c r="J61" s="34" t="n">
        <v>0.2770562663</v>
      </c>
      <c r="K61" s="12">
        <f>z_p*STDEV('Метрики — ряд'!AO7:BW7)*SQRT(4)</f>
        <v/>
      </c>
      <c r="L61" s="12">
        <f>PERCENTILE('Метрики — ряд'!BY7:DD7,p_conf)</f>
        <v/>
      </c>
      <c r="M61" s="18">
        <f>(K61-L61)/ABS(L61)*100</f>
        <v/>
      </c>
      <c r="N61" s="35">
        <f>IF(K61&gt;=O61,"ЗАМЕНА: вырожден",IF(ABS(M61)&lt;=tau*100,"M(T) — совпадает",IF(M61&lt;0,"ЗАМЕНА: занижает","M(T) — консервативна")))</f>
        <v/>
      </c>
      <c r="O61" s="34">
        <f>'Метрики'!C12</f>
        <v/>
      </c>
      <c r="P61" s="36">
        <f>COUNT('Метрики — ряд'!AO7:BW7)</f>
        <v/>
      </c>
      <c r="Q61" s="34">
        <f>AVERAGE('Метрики — ряд'!AO7:BW7)</f>
        <v/>
      </c>
      <c r="R61" s="37">
        <f>SUMPRODUCT(('Метрики — ряд'!AO7:BW7-Q61)^2)/P61</f>
        <v/>
      </c>
      <c r="S61" s="37">
        <f>SUMPRODUCT(('Метрики — ряд'!AO7:BW7-Q61)^3)/P61</f>
        <v/>
      </c>
      <c r="T61" s="37">
        <f>SUMPRODUCT(('Метрики — ряд'!AO7:BW7-Q61)^4)/P61</f>
        <v/>
      </c>
    </row>
    <row r="62" ht="30" customHeight="1">
      <c r="A62" s="4" t="inlineStr">
        <is>
          <t>EL — прочие</t>
        </is>
      </c>
      <c r="B62" s="19" t="inlineStr">
        <is>
          <t>Метрики — ряд!AO8:BW8</t>
        </is>
      </c>
      <c r="C62" s="32">
        <f>IF(AND(H62&gt;alpha,I62&gt;alpha,J62&lt;ad_crit),"нормально","НЕ нормально")</f>
        <v/>
      </c>
      <c r="D62" s="25">
        <f>P62/6*(F62^2+(G62-3)^2/4)</f>
        <v/>
      </c>
      <c r="E62" s="20" t="inlineStr">
        <is>
          <t>Завышение 120 % по той же причине, что у EL общего — снос вниз</t>
        </is>
      </c>
      <c r="F62" s="33">
        <f>S62/R62^1.5</f>
        <v/>
      </c>
      <c r="G62" s="15">
        <f>T62/R62^2</f>
        <v/>
      </c>
      <c r="H62" s="12">
        <f>CHIDIST(D62,2)</f>
        <v/>
      </c>
      <c r="I62" s="34" t="n">
        <v>0.6951183627</v>
      </c>
      <c r="J62" s="34" t="n">
        <v>0.3217074891</v>
      </c>
      <c r="K62" s="12">
        <f>z_p*STDEV('Метрики — ряд'!AO8:BW8)*SQRT(4)</f>
        <v/>
      </c>
      <c r="L62" s="12">
        <f>PERCENTILE('Метрики — ряд'!BY8:DD8,p_conf)</f>
        <v/>
      </c>
      <c r="M62" s="18">
        <f>(K62-L62)/ABS(L62)*100</f>
        <v/>
      </c>
      <c r="N62" s="35">
        <f>IF(K62&gt;=O62,"ЗАМЕНА: вырожден",IF(ABS(M62)&lt;=tau*100,"M(T) — совпадает",IF(M62&lt;0,"ЗАМЕНА: занижает","M(T) — консервативна")))</f>
        <v/>
      </c>
      <c r="O62" s="34">
        <f>'Метрики'!C13</f>
        <v/>
      </c>
      <c r="P62" s="36">
        <f>COUNT('Метрики — ряд'!AO8:BW8)</f>
        <v/>
      </c>
      <c r="Q62" s="34">
        <f>AVERAGE('Метрики — ряд'!AO8:BW8)</f>
        <v/>
      </c>
      <c r="R62" s="37">
        <f>SUMPRODUCT(('Метрики — ряд'!AO8:BW8-Q62)^2)/P62</f>
        <v/>
      </c>
      <c r="S62" s="37">
        <f>SUMPRODUCT(('Метрики — ряд'!AO8:BW8-Q62)^3)/P62</f>
        <v/>
      </c>
      <c r="T62" s="37">
        <f>SUMPRODUCT(('Метрики — ряд'!AO8:BW8-Q62)^4)/P62</f>
        <v/>
      </c>
    </row>
    <row r="63" ht="30" customHeight="1">
      <c r="A63" s="4" t="inlineStr">
        <is>
          <t>PD — необеспеченные</t>
        </is>
      </c>
      <c r="B63" s="19" t="inlineStr">
        <is>
          <t>Метрики — ряд!AO9:BW9</t>
        </is>
      </c>
      <c r="C63" s="38">
        <f>IF(AND(H63&gt;alpha,I63&gt;alpha,J63&lt;ad_crit),"нормально","НЕ нормально")</f>
        <v/>
      </c>
      <c r="D63" s="25">
        <f>P63/6*(F63^2+(G63-3)^2/4)</f>
        <v/>
      </c>
      <c r="E63" s="20" t="inlineStr">
        <is>
          <t>Завышение 83 %: PD падает с 12,13 до 10,96 за девять кварталов</t>
        </is>
      </c>
      <c r="F63" s="33">
        <f>S63/R63^1.5</f>
        <v/>
      </c>
      <c r="G63" s="15">
        <f>T63/R63^2</f>
        <v/>
      </c>
      <c r="H63" s="12">
        <f>CHIDIST(D63,2)</f>
        <v/>
      </c>
      <c r="I63" s="34" t="n">
        <v>0.0104798633</v>
      </c>
      <c r="J63" s="34" t="n">
        <v>1.2159614362</v>
      </c>
      <c r="K63" s="12">
        <f>z_p*STDEV('Метрики — ряд'!AO9:BW9)*SQRT(4)</f>
        <v/>
      </c>
      <c r="L63" s="12">
        <f>PERCENTILE('Метрики — ряд'!BY9:DD9,p_conf)</f>
        <v/>
      </c>
      <c r="M63" s="18">
        <f>(K63-L63)/ABS(L63)*100</f>
        <v/>
      </c>
      <c r="N63" s="35">
        <f>IF(K63&gt;=O63,"ЗАМЕНА: вырожден",IF(ABS(M63)&lt;=tau*100,"M(T) — совпадает",IF(M63&lt;0,"ЗАМЕНА: занижает","M(T) — консервативна")))</f>
        <v/>
      </c>
      <c r="O63" s="34">
        <f>'Метрики'!C14</f>
        <v/>
      </c>
      <c r="P63" s="36">
        <f>COUNT('Метрики — ряд'!AO9:BW9)</f>
        <v/>
      </c>
      <c r="Q63" s="34">
        <f>AVERAGE('Метрики — ряд'!AO9:BW9)</f>
        <v/>
      </c>
      <c r="R63" s="37">
        <f>SUMPRODUCT(('Метрики — ряд'!AO9:BW9-Q63)^2)/P63</f>
        <v/>
      </c>
      <c r="S63" s="37">
        <f>SUMPRODUCT(('Метрики — ряд'!AO9:BW9-Q63)^3)/P63</f>
        <v/>
      </c>
      <c r="T63" s="37">
        <f>SUMPRODUCT(('Метрики — ряд'!AO9:BW9-Q63)^4)/P63</f>
        <v/>
      </c>
    </row>
    <row r="64" ht="30" customHeight="1">
      <c r="A64" s="4" t="inlineStr">
        <is>
          <t>PD — необеспеченные, наличные</t>
        </is>
      </c>
      <c r="B64" s="19" t="inlineStr">
        <is>
          <t>Метрики — ряд!AO10:BW10</t>
        </is>
      </c>
      <c r="C64" s="38">
        <f>IF(AND(H64&gt;alpha,I64&gt;alpha,J64&lt;ad_crit),"нормально","НЕ нормально")</f>
        <v/>
      </c>
      <c r="D64" s="25">
        <f>P64/6*(F64^2+(G64-3)^2/4)</f>
        <v/>
      </c>
      <c r="E64" s="20" t="inlineStr">
        <is>
          <t>Завышение 68 %, та же причина</t>
        </is>
      </c>
      <c r="F64" s="33">
        <f>S64/R64^1.5</f>
        <v/>
      </c>
      <c r="G64" s="15">
        <f>T64/R64^2</f>
        <v/>
      </c>
      <c r="H64" s="12">
        <f>CHIDIST(D64,2)</f>
        <v/>
      </c>
      <c r="I64" s="34" t="n">
        <v>0.0036287999</v>
      </c>
      <c r="J64" s="34" t="n">
        <v>1.4035879626</v>
      </c>
      <c r="K64" s="12">
        <f>z_p*STDEV('Метрики — ряд'!AO10:BW10)*SQRT(4)</f>
        <v/>
      </c>
      <c r="L64" s="12">
        <f>PERCENTILE('Метрики — ряд'!BY10:DD10,p_conf)</f>
        <v/>
      </c>
      <c r="M64" s="18">
        <f>(K64-L64)/ABS(L64)*100</f>
        <v/>
      </c>
      <c r="N64" s="35">
        <f>IF(K64&gt;=O64,"ЗАМЕНА: вырожден",IF(ABS(M64)&lt;=tau*100,"M(T) — совпадает",IF(M64&lt;0,"ЗАМЕНА: занижает","M(T) — консервативна")))</f>
        <v/>
      </c>
      <c r="O64" s="34">
        <f>'Метрики'!C15</f>
        <v/>
      </c>
      <c r="P64" s="36">
        <f>COUNT('Метрики — ряд'!AO10:BW10)</f>
        <v/>
      </c>
      <c r="Q64" s="34">
        <f>AVERAGE('Метрики — ряд'!AO10:BW10)</f>
        <v/>
      </c>
      <c r="R64" s="37">
        <f>SUMPRODUCT(('Метрики — ряд'!AO10:BW10-Q64)^2)/P64</f>
        <v/>
      </c>
      <c r="S64" s="37">
        <f>SUMPRODUCT(('Метрики — ряд'!AO10:BW10-Q64)^3)/P64</f>
        <v/>
      </c>
      <c r="T64" s="37">
        <f>SUMPRODUCT(('Метрики — ряд'!AO10:BW10-Q64)^4)/P64</f>
        <v/>
      </c>
    </row>
    <row r="65" ht="30" customHeight="1">
      <c r="A65" s="4" t="inlineStr">
        <is>
          <t>PD — необеспеченные, товарные</t>
        </is>
      </c>
      <c r="B65" s="19" t="inlineStr">
        <is>
          <t>Метрики — ряд!AO11:BW11</t>
        </is>
      </c>
      <c r="C65" s="38">
        <f>IF(AND(H65&gt;alpha,I65&gt;alpha,J65&lt;ad_crit),"нормально","НЕ нормально")</f>
        <v/>
      </c>
      <c r="D65" s="25">
        <f>P65/6*(F65^2+(G65-3)^2/4)</f>
        <v/>
      </c>
      <c r="E65" s="20" t="inlineStr">
        <is>
          <t>Завышение 523 % — крайний случай сноса: четырёхмесячный рост почти отсутствует, весь ход направлен вниз</t>
        </is>
      </c>
      <c r="F65" s="33">
        <f>S65/R65^1.5</f>
        <v/>
      </c>
      <c r="G65" s="15">
        <f>T65/R65^2</f>
        <v/>
      </c>
      <c r="H65" s="12">
        <f>CHIDIST(D65,2)</f>
        <v/>
      </c>
      <c r="I65" s="34" t="n">
        <v>0.0054344101</v>
      </c>
      <c r="J65" s="34" t="n">
        <v>1.1822940504</v>
      </c>
      <c r="K65" s="12">
        <f>z_p*STDEV('Метрики — ряд'!AO11:BW11)*SQRT(4)</f>
        <v/>
      </c>
      <c r="L65" s="12">
        <f>PERCENTILE('Метрики — ряд'!BY11:DD11,p_conf)</f>
        <v/>
      </c>
      <c r="M65" s="18">
        <f>(K65-L65)/ABS(L65)*100</f>
        <v/>
      </c>
      <c r="N65" s="35">
        <f>IF(K65&gt;=O65,"ЗАМЕНА: вырожден",IF(ABS(M65)&lt;=tau*100,"M(T) — совпадает",IF(M65&lt;0,"ЗАМЕНА: занижает","M(T) — консервативна")))</f>
        <v/>
      </c>
      <c r="O65" s="34">
        <f>'Метрики'!C16</f>
        <v/>
      </c>
      <c r="P65" s="36">
        <f>COUNT('Метрики — ряд'!AO11:BW11)</f>
        <v/>
      </c>
      <c r="Q65" s="34">
        <f>AVERAGE('Метрики — ряд'!AO11:BW11)</f>
        <v/>
      </c>
      <c r="R65" s="37">
        <f>SUMPRODUCT(('Метрики — ряд'!AO11:BW11-Q65)^2)/P65</f>
        <v/>
      </c>
      <c r="S65" s="37">
        <f>SUMPRODUCT(('Метрики — ряд'!AO11:BW11-Q65)^3)/P65</f>
        <v/>
      </c>
      <c r="T65" s="37">
        <f>SUMPRODUCT(('Метрики — ряд'!AO11:BW11-Q65)^4)/P65</f>
        <v/>
      </c>
    </row>
    <row r="66" ht="30" customHeight="1">
      <c r="A66" s="4" t="inlineStr">
        <is>
          <t>PD — обеспеченные</t>
        </is>
      </c>
      <c r="B66" s="19" t="inlineStr">
        <is>
          <t>Метрики — ряд!AO12:BW12</t>
        </is>
      </c>
      <c r="C66" s="38">
        <f>IF(AND(H66&gt;alpha,I66&gt;alpha,J66&lt;ad_crit),"нормально","НЕ нормально")</f>
        <v/>
      </c>
      <c r="D66" s="25">
        <f>P66/6*(F66^2+(G66-3)^2/4)</f>
        <v/>
      </c>
      <c r="E66" s="20" t="inlineStr">
        <is>
          <t>Расхождение −19 %, внутри порога по модулю, но со знаком «минус»: модель чуть уже факта. Остаётся на M(T), отмечено</t>
        </is>
      </c>
      <c r="F66" s="33">
        <f>S66/R66^1.5</f>
        <v/>
      </c>
      <c r="G66" s="15">
        <f>T66/R66^2</f>
        <v/>
      </c>
      <c r="H66" s="12">
        <f>CHIDIST(D66,2)</f>
        <v/>
      </c>
      <c r="I66" s="34" t="n">
        <v>0.0018761219</v>
      </c>
      <c r="J66" s="34" t="n">
        <v>1.6158868396</v>
      </c>
      <c r="K66" s="12">
        <f>z_p*STDEV('Метрики — ряд'!AO12:BW12)*SQRT(4)</f>
        <v/>
      </c>
      <c r="L66" s="12">
        <f>PERCENTILE('Метрики — ряд'!BY12:DD12,p_conf)</f>
        <v/>
      </c>
      <c r="M66" s="18">
        <f>(K66-L66)/ABS(L66)*100</f>
        <v/>
      </c>
      <c r="N66" s="35">
        <f>IF(K66&gt;=O66,"ЗАМЕНА: вырожден",IF(ABS(M66)&lt;=tau*100,"M(T) — совпадает",IF(M66&lt;0,"ЗАМЕНА: занижает","M(T) — консервативна")))</f>
        <v/>
      </c>
      <c r="O66" s="34">
        <f>'Метрики'!C17</f>
        <v/>
      </c>
      <c r="P66" s="36">
        <f>COUNT('Метрики — ряд'!AO12:BW12)</f>
        <v/>
      </c>
      <c r="Q66" s="34">
        <f>AVERAGE('Метрики — ряд'!AO12:BW12)</f>
        <v/>
      </c>
      <c r="R66" s="37">
        <f>SUMPRODUCT(('Метрики — ряд'!AO12:BW12-Q66)^2)/P66</f>
        <v/>
      </c>
      <c r="S66" s="37">
        <f>SUMPRODUCT(('Метрики — ряд'!AO12:BW12-Q66)^3)/P66</f>
        <v/>
      </c>
      <c r="T66" s="37">
        <f>SUMPRODUCT(('Метрики — ряд'!AO12:BW12-Q66)^4)/P66</f>
        <v/>
      </c>
    </row>
    <row r="67" ht="30" customHeight="1">
      <c r="A67" s="4" t="inlineStr">
        <is>
          <t>PD — прочие</t>
        </is>
      </c>
      <c r="B67" s="19" t="inlineStr">
        <is>
          <t>Метрики — ряд!AO13:BW13</t>
        </is>
      </c>
      <c r="C67" s="38">
        <f>IF(AND(H67&gt;alpha,I67&gt;alpha,J67&lt;ad_crit),"нормально","НЕ нормально")</f>
        <v/>
      </c>
      <c r="D67" s="25">
        <f>P67/6*(F67^2+(G67-3)^2/4)</f>
        <v/>
      </c>
      <c r="E67" s="20" t="inlineStr">
        <is>
          <t>Завышение 92 %, снос вниз</t>
        </is>
      </c>
      <c r="F67" s="33">
        <f>S67/R67^1.5</f>
        <v/>
      </c>
      <c r="G67" s="15">
        <f>T67/R67^2</f>
        <v/>
      </c>
      <c r="H67" s="12">
        <f>CHIDIST(D67,2)</f>
        <v/>
      </c>
      <c r="I67" s="34" t="n">
        <v>0.0647797237</v>
      </c>
      <c r="J67" s="34" t="n">
        <v>0.7757231808</v>
      </c>
      <c r="K67" s="12">
        <f>z_p*STDEV('Метрики — ряд'!AO13:BW13)*SQRT(4)</f>
        <v/>
      </c>
      <c r="L67" s="12">
        <f>PERCENTILE('Метрики — ряд'!BY13:DD13,p_conf)</f>
        <v/>
      </c>
      <c r="M67" s="18">
        <f>(K67-L67)/ABS(L67)*100</f>
        <v/>
      </c>
      <c r="N67" s="35">
        <f>IF(K67&gt;=O67,"ЗАМЕНА: вырожден",IF(ABS(M67)&lt;=tau*100,"M(T) — совпадает",IF(M67&lt;0,"ЗАМЕНА: занижает","M(T) — консервативна")))</f>
        <v/>
      </c>
      <c r="O67" s="34">
        <f>'Метрики'!C18</f>
        <v/>
      </c>
      <c r="P67" s="36">
        <f>COUNT('Метрики — ряд'!AO13:BW13)</f>
        <v/>
      </c>
      <c r="Q67" s="34">
        <f>AVERAGE('Метрики — ряд'!AO13:BW13)</f>
        <v/>
      </c>
      <c r="R67" s="37">
        <f>SUMPRODUCT(('Метрики — ряд'!AO13:BW13-Q67)^2)/P67</f>
        <v/>
      </c>
      <c r="S67" s="37">
        <f>SUMPRODUCT(('Метрики — ряд'!AO13:BW13-Q67)^3)/P67</f>
        <v/>
      </c>
      <c r="T67" s="37">
        <f>SUMPRODUCT(('Метрики — ряд'!AO13:BW13-Q67)^4)/P67</f>
        <v/>
      </c>
    </row>
  </sheetData>
  <mergeCells count="7">
    <mergeCell ref="A53:E53"/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двух методов разметки зон</t>
        </is>
      </c>
    </row>
    <row r="2" ht="58" customHeight="1">
      <c r="A2" s="2" t="inlineStr">
        <is>
          <t>Блоки 1–4 обосновывают ЗАПАС ВРЕМЕНИ M(T) = z(p)·σ_Δ·√T: формула держится на трёх допущениях (приросты независимы — отсюда √T, распределение суммы близко к нормальному — отсюда z, дрейфа нет), и каждое проверено на нашем же ряде. Блок 5 обосновывает ВТОРОЙ МЕТОД — эмпирический квантиль, которым размечается метрика, не прошедшая решающую проверку. Какая метрика каким методом размечена — на листе «Расчёт», блок 8; сами зоны — на «Метрики». Колонки G–K — служебные: T-месячные изменения, по которым считаются проверки.</t>
        </is>
      </c>
    </row>
    <row r="4" ht="30" customHeight="1">
      <c r="A4" s="8" t="inlineStr">
        <is>
          <t>Проверка</t>
        </is>
      </c>
      <c r="B4" s="8" t="inlineStr">
        <is>
          <t>Что именно проверяется</t>
        </is>
      </c>
      <c r="C4" s="8" t="inlineStr">
        <is>
          <t>Формула в этой книге</t>
        </is>
      </c>
      <c r="D4" s="8" t="inlineStr">
        <is>
          <t>Значение</t>
        </is>
      </c>
      <c r="E4" s="8" t="inlineStr">
        <is>
          <t>Как читать</t>
        </is>
      </c>
      <c r="G4" s="8" t="inlineStr">
        <is>
          <t>Изменение за 1 мес.</t>
        </is>
      </c>
      <c r="H4" s="8" t="inlineStr">
        <is>
          <t>Изменение за 2 мес.</t>
        </is>
      </c>
      <c r="I4" s="8" t="inlineStr">
        <is>
          <t>Изменение за 3 мес.</t>
        </is>
      </c>
      <c r="J4" s="8" t="inlineStr">
        <is>
          <t>Изменение за 4 мес.</t>
        </is>
      </c>
      <c r="K4" s="8" t="inlineStr">
        <is>
          <t>Изменение за 6 мес.</t>
        </is>
      </c>
    </row>
    <row r="5">
      <c r="A5" s="28" t="inlineStr">
        <is>
          <t>1. Независимость приростов — единственное, на чём держится √T</t>
        </is>
      </c>
      <c r="B5" s="29" t="n"/>
      <c r="C5" s="29" t="n"/>
      <c r="D5" s="29" t="n"/>
      <c r="E5" s="29" t="n"/>
      <c r="G5" s="39">
        <f>Ряд!H6-Ряд!H5</f>
        <v/>
      </c>
      <c r="H5" s="39">
        <f>Ряд!H7-Ряд!H5</f>
        <v/>
      </c>
      <c r="I5" s="39">
        <f>Ряд!H8-Ряд!H5</f>
        <v/>
      </c>
      <c r="J5" s="39">
        <f>Ряд!H9-Ряд!H5</f>
        <v/>
      </c>
      <c r="K5" s="39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9" t="inlineStr">
        <is>
          <t>CORREL(Ряд!J7:J40,Ряд!J6:J39)</t>
        </is>
      </c>
      <c r="D6" s="30">
        <f>CORREL(Ряд!J7:J40,Ряд!J6:J39)</f>
        <v/>
      </c>
      <c r="E6" s="20" t="inlineStr">
        <is>
          <t>новое, 14.09.2026</t>
        </is>
      </c>
      <c r="G6" s="39">
        <f>Ряд!H7-Ряд!H6</f>
        <v/>
      </c>
      <c r="H6" s="39">
        <f>Ряд!H8-Ряд!H6</f>
        <v/>
      </c>
      <c r="I6" s="39">
        <f>Ряд!H9-Ряд!H6</f>
        <v/>
      </c>
      <c r="J6" s="39">
        <f>Ряд!H10-Ряд!H6</f>
        <v/>
      </c>
      <c r="K6" s="39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9" t="inlineStr">
        <is>
          <t>2/SQRT(COUNT(d))</t>
        </is>
      </c>
      <c r="D7" s="30">
        <f>2/SQRT(COUNT(d))</f>
        <v/>
      </c>
      <c r="E7" s="20" t="inlineStr">
        <is>
          <t>новое</t>
        </is>
      </c>
      <c r="G7" s="39">
        <f>Ряд!H8-Ряд!H7</f>
        <v/>
      </c>
      <c r="H7" s="39">
        <f>Ряд!H9-Ряд!H7</f>
        <v/>
      </c>
      <c r="I7" s="39">
        <f>Ряд!H10-Ряд!H7</f>
        <v/>
      </c>
      <c r="J7" s="39">
        <f>Ряд!H11-Ряд!H7</f>
        <v/>
      </c>
      <c r="K7" s="39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39">
        <f>Ряд!H9-Ряд!H8</f>
        <v/>
      </c>
      <c r="H8" s="39">
        <f>Ряд!H10-Ряд!H8</f>
        <v/>
      </c>
      <c r="I8" s="39">
        <f>Ряд!H11-Ряд!H8</f>
        <v/>
      </c>
      <c r="J8" s="39">
        <f>Ряд!H12-Ряд!H8</f>
        <v/>
      </c>
      <c r="K8" s="39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9" t="inlineStr">
        <is>
          <t>STDEV($G$5:$G$39)</t>
        </is>
      </c>
      <c r="D9" s="30">
        <f>STDEV($G$5:$G$39)</f>
        <v/>
      </c>
      <c r="E9" s="20" t="inlineStr">
        <is>
          <t>новое</t>
        </is>
      </c>
      <c r="G9" s="39">
        <f>Ряд!H10-Ряд!H9</f>
        <v/>
      </c>
      <c r="H9" s="39">
        <f>Ряд!H11-Ряд!H9</f>
        <v/>
      </c>
      <c r="I9" s="39">
        <f>Ряд!H12-Ряд!H9</f>
        <v/>
      </c>
      <c r="J9" s="39">
        <f>Ряд!H13-Ряд!H9</f>
        <v/>
      </c>
      <c r="K9" s="39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9" t="inlineStr">
        <is>
          <t>D9/('Расчёт'!D6*SQRT(1))</t>
        </is>
      </c>
      <c r="D10" s="30">
        <f>D9/('Расчёт'!D6*SQRT(1))</f>
        <v/>
      </c>
      <c r="E10" s="20" t="inlineStr">
        <is>
          <t>новое</t>
        </is>
      </c>
      <c r="G10" s="39">
        <f>Ряд!H11-Ряд!H10</f>
        <v/>
      </c>
      <c r="H10" s="39">
        <f>Ряд!H12-Ряд!H10</f>
        <v/>
      </c>
      <c r="I10" s="39">
        <f>Ряд!H13-Ряд!H10</f>
        <v/>
      </c>
      <c r="J10" s="39">
        <f>Ряд!H14-Ряд!H10</f>
        <v/>
      </c>
      <c r="K10" s="39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9" t="inlineStr">
        <is>
          <t>STDEV($H$5:$H$38)</t>
        </is>
      </c>
      <c r="D11" s="30">
        <f>STDEV($H$5:$H$38)</f>
        <v/>
      </c>
      <c r="E11" s="20" t="inlineStr">
        <is>
          <t>новое</t>
        </is>
      </c>
      <c r="G11" s="39">
        <f>Ряд!H12-Ряд!H11</f>
        <v/>
      </c>
      <c r="H11" s="39">
        <f>Ряд!H13-Ряд!H11</f>
        <v/>
      </c>
      <c r="I11" s="39">
        <f>Ряд!H14-Ряд!H11</f>
        <v/>
      </c>
      <c r="J11" s="39">
        <f>Ряд!H15-Ряд!H11</f>
        <v/>
      </c>
      <c r="K11" s="39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9" t="inlineStr">
        <is>
          <t>D11/('Расчёт'!D6*SQRT(2))</t>
        </is>
      </c>
      <c r="D12" s="30">
        <f>D11/('Расчёт'!D6*SQRT(2))</f>
        <v/>
      </c>
      <c r="E12" s="20" t="inlineStr">
        <is>
          <t>новое</t>
        </is>
      </c>
      <c r="G12" s="39">
        <f>Ряд!H13-Ряд!H12</f>
        <v/>
      </c>
      <c r="H12" s="39">
        <f>Ряд!H14-Ряд!H12</f>
        <v/>
      </c>
      <c r="I12" s="39">
        <f>Ряд!H15-Ряд!H12</f>
        <v/>
      </c>
      <c r="J12" s="39">
        <f>Ряд!H16-Ряд!H12</f>
        <v/>
      </c>
      <c r="K12" s="39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9" t="inlineStr">
        <is>
          <t>STDEV($I$5:$I$37)</t>
        </is>
      </c>
      <c r="D13" s="30">
        <f>STDEV($I$5:$I$37)</f>
        <v/>
      </c>
      <c r="E13" s="20" t="inlineStr">
        <is>
          <t>новое</t>
        </is>
      </c>
      <c r="G13" s="39">
        <f>Ряд!H14-Ряд!H13</f>
        <v/>
      </c>
      <c r="H13" s="39">
        <f>Ряд!H15-Ряд!H13</f>
        <v/>
      </c>
      <c r="I13" s="39">
        <f>Ряд!H16-Ряд!H13</f>
        <v/>
      </c>
      <c r="J13" s="39">
        <f>Ряд!H17-Ряд!H13</f>
        <v/>
      </c>
      <c r="K13" s="39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9" t="inlineStr">
        <is>
          <t>D13/('Расчёт'!D6*SQRT(3))</t>
        </is>
      </c>
      <c r="D14" s="30">
        <f>D13/('Расчёт'!D6*SQRT(3))</f>
        <v/>
      </c>
      <c r="E14" s="20" t="inlineStr">
        <is>
          <t>новое</t>
        </is>
      </c>
      <c r="G14" s="39">
        <f>Ряд!H15-Ряд!H14</f>
        <v/>
      </c>
      <c r="H14" s="39">
        <f>Ряд!H16-Ряд!H14</f>
        <v/>
      </c>
      <c r="I14" s="39">
        <f>Ряд!H17-Ряд!H14</f>
        <v/>
      </c>
      <c r="J14" s="39">
        <f>Ряд!H18-Ряд!H14</f>
        <v/>
      </c>
      <c r="K14" s="39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9" t="inlineStr">
        <is>
          <t>STDEV($J$5:$J$36)</t>
        </is>
      </c>
      <c r="D15" s="30">
        <f>STDEV($J$5:$J$36)</f>
        <v/>
      </c>
      <c r="E15" s="20" t="inlineStr">
        <is>
          <t>новое</t>
        </is>
      </c>
      <c r="G15" s="39">
        <f>Ряд!H16-Ряд!H15</f>
        <v/>
      </c>
      <c r="H15" s="39">
        <f>Ряд!H17-Ряд!H15</f>
        <v/>
      </c>
      <c r="I15" s="39">
        <f>Ряд!H18-Ряд!H15</f>
        <v/>
      </c>
      <c r="J15" s="39">
        <f>Ряд!H19-Ряд!H15</f>
        <v/>
      </c>
      <c r="K15" s="39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9" t="inlineStr">
        <is>
          <t>D15/('Расчёт'!D6*SQRT(4))</t>
        </is>
      </c>
      <c r="D16" s="30">
        <f>D15/('Расчёт'!D6*SQRT(4))</f>
        <v/>
      </c>
      <c r="E16" s="20" t="inlineStr">
        <is>
          <t>новое</t>
        </is>
      </c>
      <c r="G16" s="39">
        <f>Ряд!H17-Ряд!H16</f>
        <v/>
      </c>
      <c r="H16" s="39">
        <f>Ряд!H18-Ряд!H16</f>
        <v/>
      </c>
      <c r="I16" s="39">
        <f>Ряд!H19-Ряд!H16</f>
        <v/>
      </c>
      <c r="J16" s="39">
        <f>Ряд!H20-Ряд!H16</f>
        <v/>
      </c>
      <c r="K16" s="39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9" t="inlineStr">
        <is>
          <t>STDEV($K$5:$K$34)</t>
        </is>
      </c>
      <c r="D17" s="30">
        <f>STDEV($K$5:$K$34)</f>
        <v/>
      </c>
      <c r="E17" s="20" t="inlineStr">
        <is>
          <t>новое</t>
        </is>
      </c>
      <c r="G17" s="39">
        <f>Ряд!H18-Ряд!H17</f>
        <v/>
      </c>
      <c r="H17" s="39">
        <f>Ряд!H19-Ряд!H17</f>
        <v/>
      </c>
      <c r="I17" s="39">
        <f>Ряд!H20-Ряд!H17</f>
        <v/>
      </c>
      <c r="J17" s="39">
        <f>Ряд!H21-Ряд!H17</f>
        <v/>
      </c>
      <c r="K17" s="39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9" t="inlineStr">
        <is>
          <t>D17/('Расчёт'!D6*SQRT(6))</t>
        </is>
      </c>
      <c r="D18" s="30">
        <f>D17/('Расчёт'!D6*SQRT(6))</f>
        <v/>
      </c>
      <c r="E18" s="20" t="inlineStr">
        <is>
          <t>новое</t>
        </is>
      </c>
      <c r="G18" s="39">
        <f>Ряд!H19-Ряд!H18</f>
        <v/>
      </c>
      <c r="H18" s="39">
        <f>Ряд!H20-Ряд!H18</f>
        <v/>
      </c>
      <c r="I18" s="39">
        <f>Ряд!H21-Ряд!H18</f>
        <v/>
      </c>
      <c r="J18" s="39">
        <f>Ряд!H22-Ряд!H18</f>
        <v/>
      </c>
      <c r="K18" s="39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39">
        <f>Ряд!H20-Ряд!H19</f>
        <v/>
      </c>
      <c r="H19" s="39">
        <f>Ряд!H21-Ряд!H19</f>
        <v/>
      </c>
      <c r="I19" s="39">
        <f>Ряд!H22-Ряд!H19</f>
        <v/>
      </c>
      <c r="J19" s="39">
        <f>Ряд!H23-Ряд!H19</f>
        <v/>
      </c>
      <c r="K19" s="39">
        <f>Ряд!H25-Ряд!H19</f>
        <v/>
      </c>
    </row>
    <row r="20">
      <c r="A20" s="28" t="inlineStr">
        <is>
          <t>2. Нормальность — и почему нужна не та, о которой спрашивают</t>
        </is>
      </c>
      <c r="B20" s="29" t="n"/>
      <c r="C20" s="29" t="n"/>
      <c r="D20" s="29" t="n"/>
      <c r="E20" s="29" t="n"/>
      <c r="G20" s="39">
        <f>Ряд!H21-Ряд!H20</f>
        <v/>
      </c>
      <c r="H20" s="39">
        <f>Ряд!H22-Ряд!H20</f>
        <v/>
      </c>
      <c r="I20" s="39">
        <f>Ряд!H23-Ряд!H20</f>
        <v/>
      </c>
      <c r="J20" s="39">
        <f>Ряд!H24-Ряд!H20</f>
        <v/>
      </c>
      <c r="K20" s="39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9" t="inlineStr">
        <is>
          <t>(SUMPRODUCT((d-AVERAGE(d))^3)/COUNT(d))/(SUMPRODUCT((d-AVERAGE(d))^2)/COUNT(d))^1.5</t>
        </is>
      </c>
      <c r="D21" s="30">
        <f>(SUMPRODUCT((d-AVERAGE(d))^3)/COUNT(d))/(SUMPRODUCT((d-AVERAGE(d))^2)/COUNT(d))^1.5</f>
        <v/>
      </c>
      <c r="E21" s="20" t="inlineStr">
        <is>
          <t>новое</t>
        </is>
      </c>
      <c r="G21" s="39">
        <f>Ряд!H22-Ряд!H21</f>
        <v/>
      </c>
      <c r="H21" s="39">
        <f>Ряд!H23-Ряд!H21</f>
        <v/>
      </c>
      <c r="I21" s="39">
        <f>Ряд!H24-Ряд!H21</f>
        <v/>
      </c>
      <c r="J21" s="39">
        <f>Ряд!H25-Ряд!H21</f>
        <v/>
      </c>
      <c r="K21" s="39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9" t="inlineStr">
        <is>
          <t>(SUMPRODUCT((d-AVERAGE(d))^4)/COUNT(d))/(SUMPRODUCT((d-AVERAGE(d))^2)/COUNT(d))^2-3</t>
        </is>
      </c>
      <c r="D22" s="30">
        <f>(SUMPRODUCT((d-AVERAGE(d))^4)/COUNT(d))/(SUMPRODUCT((d-AVERAGE(d))^2)/COUNT(d))^2-3</f>
        <v/>
      </c>
      <c r="E22" s="20" t="inlineStr">
        <is>
          <t>новое</t>
        </is>
      </c>
      <c r="G22" s="39">
        <f>Ряд!H23-Ряд!H22</f>
        <v/>
      </c>
      <c r="H22" s="39">
        <f>Ряд!H24-Ряд!H22</f>
        <v/>
      </c>
      <c r="I22" s="39">
        <f>Ряд!H25-Ряд!H22</f>
        <v/>
      </c>
      <c r="J22" s="39">
        <f>Ряд!H26-Ряд!H22</f>
        <v/>
      </c>
      <c r="K22" s="39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9" t="inlineStr">
        <is>
          <t>COUNT(d)/6*(D21^2+D22^2/4)</t>
        </is>
      </c>
      <c r="D23" s="30">
        <f>COUNT(d)/6*(D21^2+D22^2/4)</f>
        <v/>
      </c>
      <c r="E23" s="20" t="inlineStr">
        <is>
          <t>новое</t>
        </is>
      </c>
      <c r="G23" s="39">
        <f>Ряд!H24-Ряд!H23</f>
        <v/>
      </c>
      <c r="H23" s="39">
        <f>Ряд!H25-Ряд!H23</f>
        <v/>
      </c>
      <c r="I23" s="39">
        <f>Ряд!H26-Ряд!H23</f>
        <v/>
      </c>
      <c r="J23" s="39">
        <f>Ряд!H27-Ряд!H23</f>
        <v/>
      </c>
      <c r="K23" s="39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9" t="inlineStr">
        <is>
          <t>5.991</t>
        </is>
      </c>
      <c r="D24" s="25">
        <f>5.991</f>
        <v/>
      </c>
      <c r="E24" s="20" t="inlineStr">
        <is>
          <t>статистическая таблица</t>
        </is>
      </c>
      <c r="G24" s="39">
        <f>Ряд!H25-Ряд!H24</f>
        <v/>
      </c>
      <c r="H24" s="39">
        <f>Ряд!H26-Ряд!H24</f>
        <v/>
      </c>
      <c r="I24" s="39">
        <f>Ряд!H27-Ряд!H24</f>
        <v/>
      </c>
      <c r="J24" s="39">
        <f>Ряд!H28-Ряд!H24</f>
        <v/>
      </c>
      <c r="K24" s="39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9" t="inlineStr">
        <is>
          <t>(SUMPRODUCT(($I$5:$I$37-AVERAGE($I$5:$I$37))^3)/COUNT($I$5:$I$37))/(SUMPRODUCT(($I$5:$I$37-AVERAGE($I$5:$I$37))^2)/COUNT($I$5:$I$37))^1.5</t>
        </is>
      </c>
      <c r="D25" s="30">
        <f>(SUMPRODUCT(($I$5:$I$37-AVERAGE($I$5:$I$37))^3)/COUNT($I$5:$I$37))/(SUMPRODUCT(($I$5:$I$37-AVERAGE($I$5:$I$37))^2)/COUNT($I$5:$I$37))^1.5</f>
        <v/>
      </c>
      <c r="E25" s="20" t="inlineStr">
        <is>
          <t>новое</t>
        </is>
      </c>
      <c r="G25" s="39">
        <f>Ряд!H26-Ряд!H25</f>
        <v/>
      </c>
      <c r="H25" s="39">
        <f>Ряд!H27-Ряд!H25</f>
        <v/>
      </c>
      <c r="I25" s="39">
        <f>Ряд!H28-Ряд!H25</f>
        <v/>
      </c>
      <c r="J25" s="39">
        <f>Ряд!H29-Ряд!H25</f>
        <v/>
      </c>
      <c r="K25" s="39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9" t="inlineStr">
        <is>
          <t>(SUMPRODUCT(($I$5:$I$37-AVERAGE($I$5:$I$37))^4)/COUNT($I$5:$I$37))/(SUMPRODUCT(($I$5:$I$37-AVERAGE($I$5:$I$37))^2)/COUNT($I$5:$I$37))^2-3</t>
        </is>
      </c>
      <c r="D26" s="30">
        <f>(SUMPRODUCT(($I$5:$I$37-AVERAGE($I$5:$I$37))^4)/COUNT($I$5:$I$37))/(SUMPRODUCT(($I$5:$I$37-AVERAGE($I$5:$I$37))^2)/COUNT($I$5:$I$37))^2-3</f>
        <v/>
      </c>
      <c r="E26" s="20" t="inlineStr">
        <is>
          <t>новое</t>
        </is>
      </c>
      <c r="G26" s="39">
        <f>Ряд!H27-Ряд!H26</f>
        <v/>
      </c>
      <c r="H26" s="39">
        <f>Ряд!H28-Ряд!H26</f>
        <v/>
      </c>
      <c r="I26" s="39">
        <f>Ряд!H29-Ряд!H26</f>
        <v/>
      </c>
      <c r="J26" s="39">
        <f>Ряд!H30-Ряд!H26</f>
        <v/>
      </c>
      <c r="K26" s="39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9" t="inlineStr">
        <is>
          <t>COUNT($I$5:$I$37)/6*(D25^2+D26^2/4)</t>
        </is>
      </c>
      <c r="D27" s="30">
        <f>COUNT($I$5:$I$37)/6*(D25^2+D26^2/4)</f>
        <v/>
      </c>
      <c r="E27" s="20" t="inlineStr">
        <is>
          <t>новое</t>
        </is>
      </c>
      <c r="G27" s="39">
        <f>Ряд!H28-Ряд!H27</f>
        <v/>
      </c>
      <c r="H27" s="39">
        <f>Ряд!H29-Ряд!H27</f>
        <v/>
      </c>
      <c r="I27" s="39">
        <f>Ряд!H30-Ряд!H27</f>
        <v/>
      </c>
      <c r="J27" s="39">
        <f>Ряд!H31-Ряд!H27</f>
        <v/>
      </c>
      <c r="K27" s="39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9" t="inlineStr">
        <is>
          <t>D21/SQRT(3)</t>
        </is>
      </c>
      <c r="D28" s="30">
        <f>D21/SQRT(3)</f>
        <v/>
      </c>
      <c r="E28" s="20" t="inlineStr">
        <is>
          <t>новое</t>
        </is>
      </c>
      <c r="G28" s="39">
        <f>Ряд!H29-Ряд!H28</f>
        <v/>
      </c>
      <c r="H28" s="39">
        <f>Ряд!H30-Ряд!H28</f>
        <v/>
      </c>
      <c r="I28" s="39">
        <f>Ряд!H31-Ряд!H28</f>
        <v/>
      </c>
      <c r="J28" s="39">
        <f>Ряд!H32-Ряд!H28</f>
        <v/>
      </c>
      <c r="K28" s="39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39">
        <f>Ряд!H30-Ряд!H29</f>
        <v/>
      </c>
      <c r="H29" s="39">
        <f>Ряд!H31-Ряд!H29</f>
        <v/>
      </c>
      <c r="I29" s="39">
        <f>Ряд!H32-Ряд!H29</f>
        <v/>
      </c>
      <c r="J29" s="39">
        <f>Ряд!H33-Ряд!H29</f>
        <v/>
      </c>
      <c r="K29" s="39">
        <f>Ряд!H35-Ряд!H29</f>
        <v/>
      </c>
    </row>
    <row r="30">
      <c r="A30" s="28" t="inlineStr">
        <is>
          <t>3. Буфер M(3) четырьмя независимыми способами</t>
        </is>
      </c>
      <c r="B30" s="29" t="n"/>
      <c r="C30" s="29" t="n"/>
      <c r="D30" s="29" t="n"/>
      <c r="E30" s="29" t="n"/>
      <c r="G30" s="39">
        <f>Ряд!H31-Ряд!H30</f>
        <v/>
      </c>
      <c r="H30" s="39">
        <f>Ряд!H32-Ряд!H30</f>
        <v/>
      </c>
      <c r="I30" s="39">
        <f>Ряд!H33-Ряд!H30</f>
        <v/>
      </c>
      <c r="J30" s="39">
        <f>Ряд!H34-Ряд!H30</f>
        <v/>
      </c>
      <c r="K30" s="39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9" t="inlineStr">
        <is>
          <t>z_p*'Расчёт'!D6*SQRT(3)</t>
        </is>
      </c>
      <c r="D31" s="30">
        <f>z_p*'Расчёт'!D6*SQRT(3)</f>
        <v/>
      </c>
      <c r="E31" s="20" t="inlineStr">
        <is>
          <t>DISCLOSURE § 2.3</t>
        </is>
      </c>
      <c r="G31" s="39">
        <f>Ряд!H32-Ряд!H31</f>
        <v/>
      </c>
      <c r="H31" s="39">
        <f>Ряд!H33-Ряд!H31</f>
        <v/>
      </c>
      <c r="I31" s="39">
        <f>Ряд!H34-Ряд!H31</f>
        <v/>
      </c>
      <c r="J31" s="39">
        <f>Ряд!H35-Ряд!H31</f>
        <v/>
      </c>
      <c r="K31" s="39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9" t="inlineStr">
        <is>
          <t>PERCENTILE($I$5:$I$37,p_conf)</t>
        </is>
      </c>
      <c r="D32" s="30">
        <f>PERCENTILE($I$5:$I$37,p_conf)</f>
        <v/>
      </c>
      <c r="E32" s="20" t="inlineStr">
        <is>
          <t>новое</t>
        </is>
      </c>
      <c r="G32" s="39">
        <f>Ряд!H33-Ряд!H32</f>
        <v/>
      </c>
      <c r="H32" s="39">
        <f>Ряд!H34-Ряд!H32</f>
        <v/>
      </c>
      <c r="I32" s="39">
        <f>Ряд!H35-Ряд!H32</f>
        <v/>
      </c>
      <c r="J32" s="39">
        <f>Ряд!H36-Ряд!H32</f>
        <v/>
      </c>
      <c r="K32" s="39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9" t="inlineStr">
        <is>
          <t>(z_p+(z_p^2-1)/6*D21/SQRT(3)+(z_p^3-3*z_p)/24*D22/3-(2*z_p^3-5*z_p)/36*(D21/SQRT(3))^2)*'Расчёт'!D6*SQRT(3)</t>
        </is>
      </c>
      <c r="D33" s="30">
        <f>(z_p+(z_p^2-1)/6*D21/SQRT(3)+(z_p^3-3*z_p)/24*D22/3-(2*z_p^3-5*z_p)/36*(D21/SQRT(3))^2)*'Расчёт'!D6*SQRT(3)</f>
        <v/>
      </c>
      <c r="E33" s="20" t="inlineStr">
        <is>
          <t>новое</t>
        </is>
      </c>
      <c r="G33" s="39">
        <f>Ряд!H34-Ряд!H33</f>
        <v/>
      </c>
      <c r="H33" s="39">
        <f>Ряд!H35-Ряд!H33</f>
        <v/>
      </c>
      <c r="I33" s="39">
        <f>Ряд!H36-Ряд!H33</f>
        <v/>
      </c>
      <c r="J33" s="39">
        <f>Ряд!H37-Ряд!H33</f>
        <v/>
      </c>
      <c r="K33" s="39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9" t="inlineStr">
        <is>
          <t>MAX(D31,D32,D33)/MIN(D31,D32,D33)*100-100</t>
        </is>
      </c>
      <c r="D34" s="30">
        <f>MAX(D31,D32,D33)/MIN(D31,D32,D33)*100-100</f>
        <v/>
      </c>
      <c r="E34" s="20" t="inlineStr">
        <is>
          <t>новое</t>
        </is>
      </c>
      <c r="G34" s="39">
        <f>Ряд!H35-Ряд!H34</f>
        <v/>
      </c>
      <c r="H34" s="39">
        <f>Ряд!H36-Ряд!H34</f>
        <v/>
      </c>
      <c r="I34" s="39">
        <f>Ряд!H37-Ряд!H34</f>
        <v/>
      </c>
      <c r="J34" s="39">
        <f>Ряд!H38-Ряд!H34</f>
        <v/>
      </c>
      <c r="K34" s="39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9" t="inlineStr">
        <is>
          <t>'Расчёт'!D6/SQRT(2*(COUNT(d)-1))</t>
        </is>
      </c>
      <c r="D35" s="30">
        <f>'Расчёт'!D6/SQRT(2*(COUNT(d)-1))</f>
        <v/>
      </c>
      <c r="E35" s="20" t="inlineStr">
        <is>
          <t>новое</t>
        </is>
      </c>
      <c r="G35" s="39">
        <f>Ряд!H36-Ряд!H35</f>
        <v/>
      </c>
      <c r="H35" s="39">
        <f>Ряд!H37-Ряд!H35</f>
        <v/>
      </c>
      <c r="I35" s="39">
        <f>Ряд!H38-Ряд!H35</f>
        <v/>
      </c>
      <c r="J35" s="39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9" t="inlineStr">
        <is>
          <t>z_p*D35*SQRT(3)</t>
        </is>
      </c>
      <c r="D36" s="30">
        <f>z_p*D35*SQRT(3)</f>
        <v/>
      </c>
      <c r="E36" s="20" t="inlineStr">
        <is>
          <t>новое</t>
        </is>
      </c>
      <c r="G36" s="39">
        <f>Ряд!H37-Ряд!H36</f>
        <v/>
      </c>
      <c r="H36" s="39">
        <f>Ряд!H38-Ряд!H36</f>
        <v/>
      </c>
      <c r="I36" s="39">
        <f>Ряд!H39-Ряд!H36</f>
        <v/>
      </c>
      <c r="J36" s="39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39">
        <f>Ряд!H38-Ряд!H37</f>
        <v/>
      </c>
      <c r="H37" s="39">
        <f>Ряд!H39-Ряд!H37</f>
        <v/>
      </c>
      <c r="I37" s="39">
        <f>Ряд!H40-Ряд!H37</f>
        <v/>
      </c>
    </row>
    <row r="38">
      <c r="A38" s="28" t="inlineStr">
        <is>
          <t>4. Дрейф</t>
        </is>
      </c>
      <c r="B38" s="29" t="n"/>
      <c r="C38" s="29" t="n"/>
      <c r="D38" s="29" t="n"/>
      <c r="E38" s="29" t="n"/>
      <c r="G38" s="39">
        <f>Ряд!H39-Ряд!H38</f>
        <v/>
      </c>
      <c r="H38" s="39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9" t="inlineStr">
        <is>
          <t>AVERAGE(d)</t>
        </is>
      </c>
      <c r="D39" s="30">
        <f>AVERAGE(d)</f>
        <v/>
      </c>
      <c r="E39" s="20" t="inlineStr">
        <is>
          <t>новое</t>
        </is>
      </c>
      <c r="G39" s="39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9" t="inlineStr">
        <is>
          <t>AVERAGE(d)*3</t>
        </is>
      </c>
      <c r="D40" s="30">
        <f>AVERAGE(d)*3</f>
        <v/>
      </c>
      <c r="E40" s="20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  <row r="42">
      <c r="A42" s="28" t="inlineStr">
        <is>
          <t>5. Обоснование второго метода: эмпирический квантиль</t>
        </is>
      </c>
      <c r="B42" s="29" t="n"/>
      <c r="C42" s="29" t="n"/>
      <c r="D42" s="29" t="n"/>
      <c r="E42" s="29" t="n"/>
    </row>
    <row r="43" ht="32" customHeight="1">
      <c r="A43" s="2" t="inlineStr">
        <is>
          <t>Калибровка порога: выше 89 % лимита сигнальный уровень теряет две трети запаса времени. Данные не затронуты переходом на лестницу — считаны по top20_signal_calibration.csv.</t>
        </is>
      </c>
    </row>
    <row r="44" ht="30" customHeight="1">
      <c r="A44" s="4" t="inlineStr">
        <is>
          <t>Модельный буфер CoR КБ/ПБ на 4 мес.</t>
        </is>
      </c>
      <c r="B44" s="4" t="inlineStr">
        <is>
          <t>z · σ_Δ · √4 по всему ряду</t>
        </is>
      </c>
      <c r="C44" s="19" t="inlineStr">
        <is>
          <t>z_p*STDEV(d_cor_kb)*SQRT(4)</t>
        </is>
      </c>
      <c r="D44" s="30">
        <f>z_p*STDEV(d_cor_kb)*SQRT(4)</f>
        <v/>
      </c>
      <c r="E44" s="20" t="inlineStr">
        <is>
          <t>«Расчёт» блок 8</t>
        </is>
      </c>
    </row>
    <row r="45" ht="30" customHeight="1">
      <c r="A45" s="4" t="inlineStr">
        <is>
          <t>Лимит той же метрики</t>
        </is>
      </c>
      <c r="B45" s="4" t="inlineStr">
        <is>
          <t>Приложение № 3 к Политике</t>
        </is>
      </c>
      <c r="C45" s="19" t="inlineStr">
        <is>
          <t>'Метрики'!C6</t>
        </is>
      </c>
      <c r="D45" s="30">
        <f>'Метрики'!C6</f>
        <v/>
      </c>
      <c r="E45" s="20" t="inlineStr">
        <is>
          <t>«Метрики» C6</t>
        </is>
      </c>
    </row>
    <row r="46" ht="58" customHeight="1">
      <c r="A46" s="2" t="inlineStr">
        <is>
          <t>Буфер больше лимита на 9,5 %. Формально это крайний случай завышения — то есть ошибка в безопасную сторону. Практически зона исчезает: любое значение метрики оказывается либо жёлтым, либо красным, и лампа перестаёт нести информацию. Замена нужна по ПОЛЕЗНОСТИ, а не по безопасности, и это разные основания — их нельзя подменять одно другим.</t>
        </is>
      </c>
    </row>
    <row r="47" ht="30" customHeight="1">
      <c r="A47" s="4" t="inlineStr">
        <is>
          <t>Эмпирический буфер, обычные месяцы, 4 мес.</t>
        </is>
      </c>
      <c r="B47" s="4" t="inlineStr">
        <is>
          <t>90-й процентиль фактических изменений за 4 месяца</t>
        </is>
      </c>
      <c r="C47" s="19" t="inlineStr">
        <is>
          <t>PERCENTILE('Ряд'!Y9:Y40,p_conf)</t>
        </is>
      </c>
      <c r="D47" s="30">
        <f>PERCENTILE('Ряд'!Y9:Y40,p_conf)</f>
        <v/>
      </c>
      <c r="E47" s="20" t="inlineStr">
        <is>
          <t>«Метрики» J6</t>
        </is>
      </c>
    </row>
    <row r="48" ht="30" customHeight="1">
      <c r="A48" s="4" t="inlineStr">
        <is>
          <t>Он же в окне закрытия</t>
        </is>
      </c>
      <c r="B48" s="4" t="inlineStr">
        <is>
          <t>то же по февралю-марту</t>
        </is>
      </c>
      <c r="C48" s="19" t="inlineStr">
        <is>
          <t>PERCENTILE('Ряд'!Z9:Z40,p_conf)</t>
        </is>
      </c>
      <c r="D48" s="30">
        <f>PERCENTILE('Ряд'!Z9:Z40,p_conf)</f>
        <v/>
      </c>
      <c r="E48" s="20" t="inlineStr">
        <is>
          <t>«Метрики» J7</t>
        </is>
      </c>
    </row>
    <row r="49" ht="58" customHeight="1">
      <c r="A49" s="2" t="inlineStr">
        <is>
          <t>Метод не самодельный: BCBS d457 (MAR30) допускает историческую симуляцию наравне с параметрической моделью, и при тяжёлых хвостах она в практике преобладает. Предположения о форме распределения нет вовсе — берётся то, что ряд показал. Для CoR у метода есть и второе преимущество: календарный режим (Г36) попадает в эмпирическое распределение сам, в своей естественной доле, тогда как единая σ его размазывает по всему году.</t>
        </is>
      </c>
    </row>
    <row r="50" ht="30" customHeight="1">
      <c r="A50" s="4" t="inlineStr">
        <is>
          <t>σ приращений CoR КБ/ПБ, обычные месяцы</t>
        </is>
      </c>
      <c r="B50" s="4" t="inlineStr">
        <is>
          <t>по 29 приращениям вне фев-марта</t>
        </is>
      </c>
      <c r="C50" s="19" t="inlineStr">
        <is>
          <t>STDEV('Ряд'!U6:U40)</t>
        </is>
      </c>
      <c r="D50" s="30">
        <f>STDEV('Ряд'!U6:U40)</f>
        <v/>
      </c>
      <c r="E50" s="20" t="inlineStr">
        <is>
          <t>«Метрики» E6</t>
        </is>
      </c>
    </row>
    <row r="51" ht="30" customHeight="1">
      <c r="A51" s="4" t="inlineStr">
        <is>
          <t>σ тех же приращений в окне закрытия</t>
        </is>
      </c>
      <c r="B51" s="4" t="inlineStr">
        <is>
          <t>по 6 приращениям фев-марта</t>
        </is>
      </c>
      <c r="C51" s="19" t="inlineStr">
        <is>
          <t>STDEV('Ряд'!V6:V40)</t>
        </is>
      </c>
      <c r="D51" s="30">
        <f>STDEV('Ряд'!V6:V40)</f>
        <v/>
      </c>
      <c r="E51" s="20" t="inlineStr">
        <is>
          <t>«Метрики» E7</t>
        </is>
      </c>
    </row>
    <row r="52" ht="30" customHeight="1">
      <c r="A52" s="4" t="inlineStr">
        <is>
          <t>Во сколько раз режимы различаются</t>
        </is>
      </c>
      <c r="B52" s="4" t="inlineStr">
        <is>
          <t>σ закрытия / σ обычных месяцев</t>
        </is>
      </c>
      <c r="C52" s="19" t="inlineStr">
        <is>
          <t>STDEV('Ряд'!V6:V40)/STDEV('Ряд'!U6:U40)</t>
        </is>
      </c>
      <c r="D52" s="30">
        <f>STDEV('Ряд'!V6:V40)/STDEV('Ряд'!U6:U40)</f>
        <v/>
      </c>
      <c r="E52" s="20" t="inlineStr">
        <is>
          <t>Г36</t>
        </is>
      </c>
    </row>
    <row r="53" ht="84" customHeight="1">
      <c r="A53" s="2" t="inlineStr">
        <is>
          <t>ЦЕНА МЕТОДА, которую объявляют вместе с числом. Первое: окна перекрываются — на 36 точках при T = 4 их 32, но независимых восемь, а в окне закрытия приращений всего шесть. Квантиль 0,90 по шести есть фактически максимум выборки. Второе: эмпирический квантиль НЕ монотонен по T — у ряда с сильным трендом вниз 90-й процентиль четырёхмесячных изменений оказывается меньше месячного, и лестница переворачивается; на листе «Метрики» это выправлено явным МАКС, и там же сказано, где выправление сработало. Третье: метод берёт в зачёт прошлый тренд, тогда как M(T) считает снос нулевым — поэтому он НЕ применяется к девяти розничным метрикам, где он дал бы границы вплотную к лимиту.</t>
        </is>
      </c>
    </row>
  </sheetData>
  <mergeCells count="11">
    <mergeCell ref="A53:E53"/>
    <mergeCell ref="A29:E29"/>
    <mergeCell ref="A43:E43"/>
    <mergeCell ref="A2:E2"/>
    <mergeCell ref="A41:E41"/>
    <mergeCell ref="A19:E19"/>
    <mergeCell ref="A49:E49"/>
    <mergeCell ref="A37:E37"/>
    <mergeCell ref="A46:E46"/>
    <mergeCell ref="A8:E8"/>
    <mergeCell ref="A43:G4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8" t="inlineStr">
        <is>
          <t>Зона</t>
        </is>
      </c>
      <c r="B4" s="8" t="inlineStr">
        <is>
          <t>Определение по п. 18 Правил № 86</t>
        </is>
      </c>
      <c r="C4" s="8" t="inlineStr">
        <is>
          <t>Нижняя граница</t>
        </is>
      </c>
      <c r="D4" s="8" t="inlineStr">
        <is>
          <t>Верхняя граница</t>
        </is>
      </c>
      <c r="E4" s="8" t="inlineStr">
        <is>
          <t>Формула границы</t>
        </is>
      </c>
      <c r="F4" s="8" t="inlineStr">
        <is>
          <t>Набл.</t>
        </is>
      </c>
      <c r="G4" s="8" t="inlineStr">
        <is>
          <t>Доля, %</t>
        </is>
      </c>
    </row>
    <row r="5" ht="56" customHeight="1">
      <c r="A5" s="40" t="inlineStr">
        <is>
          <t>Зелёная</t>
        </is>
      </c>
      <c r="B5" s="41" t="inlineStr">
        <is>
          <t>уровень, не требующий применения корректирующих мер</t>
        </is>
      </c>
      <c r="C5" s="42" t="inlineStr">
        <is>
          <t>—</t>
        </is>
      </c>
      <c r="D5" s="42">
        <f>'Расчёт'!D29</f>
        <v/>
      </c>
      <c r="E5" s="43" t="inlineStr">
        <is>
          <t>— … L − M(4)</t>
        </is>
      </c>
      <c r="F5" s="44">
        <f>COUNTIF(v,"&lt;"&amp;'Расчёт'!D29)</f>
        <v/>
      </c>
      <c r="G5" s="45">
        <f>F5/COUNT(v)*100</f>
        <v/>
      </c>
    </row>
    <row r="6" ht="56" customHeight="1">
      <c r="A6" s="46" t="inlineStr">
        <is>
          <t>Жёлтая</t>
        </is>
      </c>
      <c r="B6" s="47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48">
        <f>'Расчёт'!D29</f>
        <v/>
      </c>
      <c r="D6" s="48">
        <f>'Расчёт'!D17</f>
        <v/>
      </c>
      <c r="E6" s="49" t="inlineStr">
        <is>
          <t>L − M(4) … L − M(1)</t>
        </is>
      </c>
      <c r="F6" s="50">
        <f>COUNTIFS(v,"&gt;="&amp;'Расчёт'!D29,v,"&lt;"&amp;'Расчёт'!D17)</f>
        <v/>
      </c>
      <c r="G6" s="51">
        <f>F6/COUNT(v)*100</f>
        <v/>
      </c>
    </row>
    <row r="7" ht="56" customHeight="1">
      <c r="A7" s="52" t="inlineStr">
        <is>
          <t>Красная</t>
        </is>
      </c>
      <c r="B7" s="53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54">
        <f>'Расчёт'!D17</f>
        <v/>
      </c>
      <c r="D7" s="54">
        <f>'Расчёт'!D12</f>
        <v/>
      </c>
      <c r="E7" s="55" t="inlineStr">
        <is>
          <t>L − M(1) … L</t>
        </is>
      </c>
      <c r="F7" s="56">
        <f>COUNTIFS(v,"&gt;="&amp;'Расчёт'!D17,v,"&lt;"&amp;'Расчёт'!D12)</f>
        <v/>
      </c>
      <c r="G7" s="57">
        <f>F7/COUNT(v)*100</f>
        <v/>
      </c>
    </row>
    <row r="8" ht="56" customHeight="1">
      <c r="A8" s="58" t="inlineStr">
        <is>
          <t>Нарушение лимита</t>
        </is>
      </c>
      <c r="B8" s="59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60">
        <f>'Расчёт'!D12</f>
        <v/>
      </c>
      <c r="D8" s="60" t="inlineStr">
        <is>
          <t>—</t>
        </is>
      </c>
      <c r="E8" s="61" t="inlineStr">
        <is>
          <t>L … —</t>
        </is>
      </c>
      <c r="F8" s="62">
        <f>COUNTIF(v,"&gt;="&amp;'Расчёт'!D12)</f>
        <v/>
      </c>
      <c r="G8" s="63">
        <f>F8/COUNT(v)*100</f>
        <v/>
      </c>
    </row>
    <row r="9">
      <c r="A9" s="64" t="inlineStr">
        <is>
          <t>Всего</t>
        </is>
      </c>
      <c r="B9" s="65" t="n"/>
      <c r="C9" s="65" t="n"/>
      <c r="D9" s="65" t="n"/>
      <c r="E9" s="65" t="n"/>
      <c r="F9" s="66">
        <f>SUM(F5:F8)</f>
        <v/>
      </c>
      <c r="G9" s="67">
        <f>F9/COUNT(v)*100</f>
        <v/>
      </c>
    </row>
    <row r="11">
      <c r="A11" s="28" t="inlineStr">
        <is>
          <t>Где мы сейчас, 01.07.2026</t>
        </is>
      </c>
      <c r="B11" s="29" t="n"/>
      <c r="C11" s="29" t="n"/>
      <c r="D11" s="29" t="n"/>
      <c r="E11" s="29" t="n"/>
      <c r="F11" s="29" t="n"/>
      <c r="G11" s="29" t="n"/>
    </row>
    <row r="12">
      <c r="A12" s="9" t="inlineStr">
        <is>
          <t>Текущее значение метрики</t>
        </is>
      </c>
      <c r="B12" s="30">
        <f>'Расчёт'!D8</f>
        <v/>
      </c>
      <c r="C12" s="20" t="inlineStr">
        <is>
          <t>доля топ-20 в собственном капитале, балансовая база</t>
        </is>
      </c>
      <c r="D12" s="6" t="n"/>
      <c r="E12" s="6" t="n"/>
      <c r="F12" s="6" t="n"/>
      <c r="G12" s="7" t="n"/>
    </row>
    <row r="13">
      <c r="A13" s="9" t="inlineStr">
        <is>
          <t>Граница зелёная / жёлтая</t>
        </is>
      </c>
      <c r="B13" s="30">
        <f>'Расчёт'!D29</f>
        <v/>
      </c>
      <c r="C13" s="20" t="inlineStr">
        <is>
          <t>L − M(4)</t>
        </is>
      </c>
      <c r="D13" s="6" t="n"/>
      <c r="E13" s="6" t="n"/>
      <c r="F13" s="6" t="n"/>
      <c r="G13" s="7" t="n"/>
    </row>
    <row r="14">
      <c r="A14" s="9" t="inlineStr">
        <is>
          <t>Граница жёлтая / красная</t>
        </is>
      </c>
      <c r="B14" s="30">
        <f>'Расчёт'!D17</f>
        <v/>
      </c>
      <c r="C14" s="20" t="inlineStr">
        <is>
          <t>L − M(1)</t>
        </is>
      </c>
      <c r="D14" s="6" t="n"/>
      <c r="E14" s="6" t="n"/>
      <c r="F14" s="6" t="n"/>
      <c r="G14" s="7" t="n"/>
    </row>
    <row r="15">
      <c r="A15" s="9" t="inlineStr">
        <is>
          <t>Лимит</t>
        </is>
      </c>
      <c r="B15" s="30">
        <f>'Расчёт'!D12</f>
        <v/>
      </c>
      <c r="C15" s="20" t="inlineStr">
        <is>
          <t>95 % в регуляторной базе ÷ k</t>
        </is>
      </c>
      <c r="D15" s="6" t="n"/>
      <c r="E15" s="6" t="n"/>
      <c r="F15" s="6" t="n"/>
      <c r="G15" s="7" t="n"/>
    </row>
    <row r="16">
      <c r="A16" s="9" t="inlineStr">
        <is>
          <t>До красной, пп</t>
        </is>
      </c>
      <c r="B16" s="30">
        <f>'Расчёт'!D17-'Расчёт'!D8</f>
        <v/>
      </c>
      <c r="C16" s="20" t="inlineStr">
        <is>
          <t>меньше половины одного месячного σ</t>
        </is>
      </c>
      <c r="D16" s="6" t="n"/>
      <c r="E16" s="6" t="n"/>
      <c r="F16" s="6" t="n"/>
      <c r="G16" s="7" t="n"/>
    </row>
    <row r="17">
      <c r="A17" s="9" t="inlineStr">
        <is>
          <t>До лимита, пп</t>
        </is>
      </c>
      <c r="B17" s="30">
        <f>'Расчёт'!D12-'Расчёт'!D8</f>
        <v/>
      </c>
      <c r="C17" s="20" t="inlineStr"/>
      <c r="D17" s="6" t="n"/>
      <c r="E17" s="6" t="n"/>
      <c r="F17" s="6" t="n"/>
      <c r="G17" s="7" t="n"/>
    </row>
    <row r="18">
      <c r="A18" s="9" t="inlineStr">
        <is>
          <t>T* — месяцев до лимита</t>
        </is>
      </c>
      <c r="B18" s="30">
        <f>'Расчёт'!D45</f>
        <v/>
      </c>
      <c r="C18" s="20" t="inlineStr">
        <is>
          <t>((L − v) / (z·σ))²</t>
        </is>
      </c>
      <c r="D18" s="6" t="n"/>
      <c r="E18" s="6" t="n"/>
      <c r="F18" s="6" t="n"/>
      <c r="G18" s="7" t="n"/>
    </row>
    <row r="19">
      <c r="A19" s="9" t="inlineStr">
        <is>
          <t>Зона текущей точки</t>
        </is>
      </c>
      <c r="B19" s="68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20" t="inlineStr">
        <is>
          <t>Жёлтая означает: уровень допустим, но требует отдельных корректирующих мер в действующих процедурах.</t>
        </is>
      </c>
      <c r="D19" s="6" t="n"/>
      <c r="E19" s="6" t="n"/>
      <c r="F19" s="6" t="n"/>
      <c r="G19" s="7" t="n"/>
    </row>
    <row r="21">
      <c r="A21" s="28" t="inlineStr">
        <is>
          <t>Сколько стоит смена зоны, млн ₸</t>
        </is>
      </c>
      <c r="B21" s="29" t="n"/>
      <c r="C21" s="29" t="n"/>
      <c r="D21" s="29" t="n"/>
      <c r="E21" s="29" t="n"/>
      <c r="F21" s="29" t="n"/>
      <c r="G21" s="29" t="n"/>
    </row>
    <row r="22">
      <c r="A22" s="17" t="inlineStr">
        <is>
          <t>Что сделать</t>
        </is>
      </c>
      <c r="B22" s="17" t="inlineStr">
        <is>
          <t>Через задолженность топ-20</t>
        </is>
      </c>
      <c r="C22" s="17" t="inlineStr">
        <is>
          <t>Через собственный капитал</t>
        </is>
      </c>
      <c r="D22" s="17" t="inlineStr">
        <is>
          <t>Комментарий</t>
        </is>
      </c>
      <c r="E22" s="6" t="n"/>
      <c r="F22" s="6" t="n"/>
      <c r="G22" s="7" t="n"/>
    </row>
    <row r="23">
      <c r="A23" s="9" t="inlineStr">
        <is>
          <t>Вернуться в зелёную</t>
        </is>
      </c>
      <c r="B23" s="69">
        <f>'Расчёт'!D29/100*Ряд!D40-Ряд!B40</f>
        <v/>
      </c>
      <c r="C23" s="69">
        <f>Ряд!B40/('Расчёт'!D29/100)-Ряд!D40</f>
        <v/>
      </c>
      <c r="D23" s="20" t="inlineStr">
        <is>
          <t>самая дорогая из трёх: 3,3 пп ниже текущей точки</t>
        </is>
      </c>
      <c r="E23" s="6" t="n"/>
      <c r="F23" s="6" t="n"/>
      <c r="G23" s="7" t="n"/>
    </row>
    <row r="24">
      <c r="A24" s="9" t="inlineStr">
        <is>
          <t>Не войти в красную</t>
        </is>
      </c>
      <c r="B24" s="69">
        <f>'Расчёт'!D17/100*Ряд!D40-Ряд!B40</f>
        <v/>
      </c>
      <c r="C24" s="69">
        <f>Ряд!B40/('Расчёт'!D17/100)-Ряд!D40</f>
        <v/>
      </c>
      <c r="D24" s="20" t="inlineStr">
        <is>
          <t>запас, который есть сейчас; один средний месяц по σ больше него вдвое</t>
        </is>
      </c>
      <c r="E24" s="6" t="n"/>
      <c r="F24" s="6" t="n"/>
      <c r="G24" s="7" t="n"/>
    </row>
    <row r="25">
      <c r="A25" s="9" t="inlineStr">
        <is>
          <t>Не нарушить лимит</t>
        </is>
      </c>
      <c r="B25" s="69">
        <f>'Расчёт'!D12/100*Ряд!D40-Ряд!B40</f>
        <v/>
      </c>
      <c r="C25" s="69">
        <f>Ряд!B40/('Расчёт'!D12/100)-Ряд!D40</f>
        <v/>
      </c>
      <c r="D25" s="20" t="inlineStr">
        <is>
          <t>формальный запас до обязательства</t>
        </is>
      </c>
      <c r="E25" s="6" t="n"/>
      <c r="F25" s="6" t="n"/>
      <c r="G25" s="7" t="n"/>
    </row>
    <row r="26" ht="44" customHeight="1">
      <c r="A26" s="26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8" t="inlineStr">
        <is>
          <t>Вероятность достичь границы за T месяцев</t>
        </is>
      </c>
      <c r="B28" s="29" t="n"/>
      <c r="C28" s="29" t="n"/>
      <c r="D28" s="29" t="n"/>
      <c r="E28" s="29" t="n"/>
      <c r="F28" s="29" t="n"/>
      <c r="G28" s="29" t="n"/>
    </row>
    <row r="29">
      <c r="A29" s="17" t="inlineStr">
        <is>
          <t>Граница</t>
        </is>
      </c>
      <c r="B29" s="17" t="inlineStr">
        <is>
          <t>1 месяц</t>
        </is>
      </c>
      <c r="C29" s="17" t="inlineStr">
        <is>
          <t>2 месяца</t>
        </is>
      </c>
      <c r="D29" s="17" t="inlineStr">
        <is>
          <t>3 месяца</t>
        </is>
      </c>
      <c r="E29" s="17" t="inlineStr">
        <is>
          <t>6 месяцев</t>
        </is>
      </c>
      <c r="F29" s="17" t="inlineStr">
        <is>
          <t>Разрыв, пп</t>
        </is>
      </c>
    </row>
    <row r="30">
      <c r="A30" s="9" t="inlineStr">
        <is>
          <t>Войти в красную зону</t>
        </is>
      </c>
      <c r="B30" s="24">
        <f>(1-NORMSDIST(('Расчёт'!D17-'Расчёт'!D8)/('Расчёт'!D6*SQRT(1))))*100</f>
        <v/>
      </c>
      <c r="C30" s="24">
        <f>(1-NORMSDIST(('Расчёт'!D17-'Расчёт'!D8)/('Расчёт'!D6*SQRT(2))))*100</f>
        <v/>
      </c>
      <c r="D30" s="24">
        <f>(1-NORMSDIST(('Расчёт'!D17-'Расчёт'!D8)/('Расчёт'!D6*SQRT(3))))*100</f>
        <v/>
      </c>
      <c r="E30" s="24">
        <f>(1-NORMSDIST(('Расчёт'!D17-'Расчёт'!D8)/('Расчёт'!D6*SQRT(6))))*100</f>
        <v/>
      </c>
      <c r="F30" s="12">
        <f>'Расчёт'!D17-'Расчёт'!D8</f>
        <v/>
      </c>
    </row>
    <row r="31">
      <c r="A31" s="9" t="inlineStr">
        <is>
          <t>Нарушить лимит</t>
        </is>
      </c>
      <c r="B31" s="24">
        <f>(1-NORMSDIST(('Расчёт'!D12-'Расчёт'!D8)/('Расчёт'!D6*SQRT(1))))*100</f>
        <v/>
      </c>
      <c r="C31" s="24">
        <f>(1-NORMSDIST(('Расчёт'!D12-'Расчёт'!D8)/('Расчёт'!D6*SQRT(2))))*100</f>
        <v/>
      </c>
      <c r="D31" s="24">
        <f>(1-NORMSDIST(('Расчёт'!D12-'Расчёт'!D8)/('Расчёт'!D6*SQRT(3))))*100</f>
        <v/>
      </c>
      <c r="E31" s="24">
        <f>(1-NORMSDIST(('Расчёт'!D12-'Расчёт'!D8)/('Расчёт'!D6*SQRT(6))))*100</f>
        <v/>
      </c>
      <c r="F31" s="12">
        <f>'Расчёт'!D12-'Расчёт'!D8</f>
        <v/>
      </c>
    </row>
    <row r="32" ht="40" customHeight="1">
      <c r="A32" s="26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8" t="inlineStr">
        <is>
          <t>План действий по зонам — предложение, требующее решений</t>
        </is>
      </c>
      <c r="B34" s="29" t="n"/>
      <c r="C34" s="29" t="n"/>
      <c r="D34" s="29" t="n"/>
      <c r="E34" s="29" t="n"/>
      <c r="F34" s="29" t="n"/>
      <c r="G34" s="29" t="n"/>
    </row>
    <row r="35" ht="30" customHeight="1">
      <c r="A35" s="8" t="inlineStr">
        <is>
          <t>Зона</t>
        </is>
      </c>
      <c r="B35" s="8" t="inlineStr">
        <is>
          <t>Наблюдение</t>
        </is>
      </c>
      <c r="C35" s="8" t="inlineStr">
        <is>
          <t>Уведомление</t>
        </is>
      </c>
      <c r="D35" s="8" t="inlineStr">
        <is>
          <t>Меры</t>
        </is>
      </c>
      <c r="E35" s="8" t="inlineStr">
        <is>
          <t>Что документируется</t>
        </is>
      </c>
      <c r="F35" s="8" t="inlineStr">
        <is>
          <t>Вопрос, который надо закрыть</t>
        </is>
      </c>
      <c r="G35" s="7" t="n"/>
    </row>
    <row r="36" ht="92" customHeight="1">
      <c r="A36" s="40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20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7" t="n"/>
    </row>
    <row r="37" ht="92" customHeight="1">
      <c r="A37" s="46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20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7" t="n"/>
    </row>
    <row r="38" ht="92" customHeight="1">
      <c r="A38" s="52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20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7" t="n"/>
    </row>
    <row r="39" ht="92" customHeight="1">
      <c r="A39" s="58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20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7" t="n"/>
    </row>
    <row r="41" ht="48" customHeight="1">
      <c r="A41" s="26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6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  <row r="43" ht="32" customHeight="1">
      <c r="A43" s="2" t="inlineStr">
        <is>
          <t>Ряд и лестница зон. Собрано viz/zone_ladder.py из того же CSV, что и расчёт, — границы на картинке и в таблице совпадают по построению.</t>
        </is>
      </c>
    </row>
    <row r="79" ht="32" customHeight="1">
      <c r="A79" s="2" t="inlineStr">
        <is>
          <t>Находка Р1: у восьми метрик, где зоны уже установлены, порог красной стоит ЗА уровнем риск-аппетита. Это довод за лестницу, и он не наш — так уже сделано в Банке.</t>
        </is>
      </c>
    </row>
  </sheetData>
  <mergeCells count="24">
    <mergeCell ref="A32:G32"/>
    <mergeCell ref="D25:G25"/>
    <mergeCell ref="C15:G15"/>
    <mergeCell ref="D24:G24"/>
    <mergeCell ref="C14:G14"/>
    <mergeCell ref="A43:G43"/>
    <mergeCell ref="D23:G23"/>
    <mergeCell ref="C16:G16"/>
    <mergeCell ref="F36:G36"/>
    <mergeCell ref="F35:G35"/>
    <mergeCell ref="D22:G22"/>
    <mergeCell ref="C12:G12"/>
    <mergeCell ref="F38:G38"/>
    <mergeCell ref="A79:G79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7" t="inlineStr">
        <is>
          <t>Методы</t>
        </is>
      </c>
      <c r="B4" s="17" t="inlineStr">
        <is>
          <t>Какая σ</t>
        </is>
      </c>
      <c r="C4" s="17" t="inlineStr">
        <is>
          <t>Значение</t>
        </is>
      </c>
      <c r="D4" s="17" t="inlineStr">
        <is>
          <t>К σ_Δ</t>
        </is>
      </c>
      <c r="E4" s="17" t="inlineStr">
        <is>
          <t>Что из этого следует</t>
        </is>
      </c>
    </row>
    <row r="5" ht="46" customHeight="1">
      <c r="A5" s="70" t="inlineStr">
        <is>
          <t>D, H</t>
        </is>
      </c>
      <c r="B5" s="4" t="inlineStr">
        <is>
          <t>выборочное с.к.о. приростов, все 35</t>
        </is>
      </c>
      <c r="C5" s="30">
        <f>'Расчёт'!D6</f>
        <v/>
      </c>
      <c r="D5" s="71">
        <f>C5/'Расчёт'!D6</f>
        <v/>
      </c>
      <c r="E5" s="20" t="inlineStr">
        <is>
          <t>Базовая. На ней стоят запас M(T), расстояние D и T*</t>
        </is>
      </c>
    </row>
    <row r="6" ht="46" customHeight="1">
      <c r="A6" s="70" t="inlineStr">
        <is>
          <t>М1</t>
        </is>
      </c>
      <c r="B6" s="4" t="inlineStr">
        <is>
          <t>выборочное с.к.о. самих уровней, не приростов</t>
        </is>
      </c>
      <c r="C6" s="30">
        <f>'Расчёт'!D7</f>
        <v/>
      </c>
      <c r="D6" s="71">
        <f>C6/'Расчёт'!D6</f>
        <v/>
      </c>
      <c r="E6" s="20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6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8" customWidth="1" min="4" max="4"/>
    <col width="9" customWidth="1" min="5" max="5"/>
    <col width="7" customWidth="1" min="6" max="6"/>
    <col width="8" customWidth="1" min="7" max="7"/>
    <col width="11" customWidth="1" min="8" max="8"/>
    <col width="26" customWidth="1" min="9" max="9"/>
    <col width="11" customWidth="1" min="10" max="10"/>
    <col width="11" customWidth="1" min="11" max="11"/>
    <col width="11" customWidth="1" min="12" max="12"/>
    <col width="12" customWidth="1" min="13" max="13"/>
    <col width="10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7" customWidth="1" min="20" max="20"/>
    <col width="7" customWidth="1" min="21" max="21"/>
    <col width="7" customWidth="1" min="22" max="22"/>
    <col width="7" customWidth="1" min="23" max="23"/>
    <col width="52" customWidth="1" min="24" max="24"/>
  </cols>
  <sheetData>
    <row r="1">
      <c r="A1" s="1" t="inlineStr">
        <is>
          <t>Зоны по всем кредитным метрикам: чем посчитано и почему</t>
        </is>
      </c>
    </row>
    <row r="2" ht="72" customHeight="1">
      <c r="A2" s="2" t="inlineStr">
        <is>
          <t>Одна страница на все зоны. Колонки F–I показывают, КАК посчитана каждая строка: эксцесс и p(Жарк-Бера) — из расчёта нормальности на листе «Расчёт», колонка I — вердикт решающей проверки оттуда же. Буфер в J и K берётся той формулой, которую этот вердикт назначил: z·σ·√T для нормальных, эмпирический 90-й процентиль фактических T-месячных изменений для остальных. ОДНО ИСКЛЮЧЕНИЕ: CoR МСБ вердиктом проходит на M(T), но размечена эмпирически ради сопоставимости с КБ/ПБ — это решение, а не вывод расчёта, и оно помечено в колонке X. Обоснование обоих методов — лист «Обоснование методов».</t>
        </is>
      </c>
    </row>
    <row r="4" ht="36" customHeight="1">
      <c r="A4" s="8" t="inlineStr">
        <is>
          <t>Метрика</t>
        </is>
      </c>
      <c r="B4" s="8" t="inlineStr">
        <is>
          <t>Сегмент</t>
        </is>
      </c>
      <c r="C4" s="8" t="inlineStr">
        <is>
          <t>Лимит L</t>
        </is>
      </c>
      <c r="D4" s="8" t="inlineStr">
        <is>
          <t>Приращ.</t>
        </is>
      </c>
      <c r="E4" s="8" t="inlineStr">
        <is>
          <t>σ_Δ</t>
        </is>
      </c>
      <c r="F4" s="8" t="inlineStr">
        <is>
          <t>Экс.</t>
        </is>
      </c>
      <c r="G4" s="8" t="inlineStr">
        <is>
          <t>p(ЖБ)</t>
        </is>
      </c>
      <c r="H4" s="8" t="inlineStr">
        <is>
          <t>Нормально?</t>
        </is>
      </c>
      <c r="I4" s="8" t="inlineStr">
        <is>
          <t>МЕТОД</t>
        </is>
      </c>
      <c r="J4" s="8" t="inlineStr">
        <is>
          <t>Буфер 4 мес</t>
        </is>
      </c>
      <c r="K4" s="8" t="inlineStr">
        <is>
          <t>Буфер 1 мес</t>
        </is>
      </c>
      <c r="L4" s="8" t="inlineStr">
        <is>
          <t>Зел./жёлт.</t>
        </is>
      </c>
      <c r="M4" s="8" t="inlineStr">
        <is>
          <t>Жёлт./красн.</t>
        </is>
      </c>
      <c r="N4" s="8" t="inlineStr">
        <is>
          <t>Зел., % L</t>
        </is>
      </c>
      <c r="O4" s="8" t="inlineStr">
        <is>
          <t>Жёлт., % L</t>
        </is>
      </c>
      <c r="P4" s="8" t="inlineStr">
        <is>
          <t>Факт</t>
        </is>
      </c>
      <c r="Q4" s="8" t="inlineStr">
        <is>
          <t>Зона</t>
        </is>
      </c>
      <c r="R4" s="8" t="inlineStr">
        <is>
          <t>Расст., σ</t>
        </is>
      </c>
      <c r="S4" s="8" t="inlineStr">
        <is>
          <t>SE(σ)</t>
        </is>
      </c>
      <c r="T4" s="8" t="inlineStr">
        <is>
          <t>Зел.</t>
        </is>
      </c>
      <c r="U4" s="8" t="inlineStr">
        <is>
          <t>Жёлт.</t>
        </is>
      </c>
      <c r="V4" s="8" t="inlineStr">
        <is>
          <t>Красн.</t>
        </is>
      </c>
      <c r="W4" s="8" t="inlineStr">
        <is>
          <t>Наруш.</t>
        </is>
      </c>
      <c r="X4" s="8" t="inlineStr">
        <is>
          <t>Почему такой метод</t>
        </is>
      </c>
    </row>
    <row r="5" ht="40" customHeight="1">
      <c r="A5" s="64" t="inlineStr">
        <is>
          <t>Топ-20 / собственный капитал</t>
        </is>
      </c>
      <c r="B5" s="72" t="inlineStr">
        <is>
          <t>KB</t>
        </is>
      </c>
      <c r="C5" s="73">
        <f>'Расчёт'!D12</f>
        <v/>
      </c>
      <c r="D5" s="74">
        <f>COUNT(d)</f>
        <v/>
      </c>
      <c r="E5" s="73">
        <f>'Расчёт'!D6</f>
        <v/>
      </c>
      <c r="F5" s="15">
        <f>'Расчёт'!G56</f>
        <v/>
      </c>
      <c r="G5" s="12">
        <f>'Расчёт'!H56</f>
        <v/>
      </c>
      <c r="H5" s="16">
        <f>'Расчёт'!C56</f>
        <v/>
      </c>
      <c r="I5" s="35">
        <f>IF(LEFT('Расчёт'!N56,6)="ЗАМЕНА","ист. симуляция","M(T) = z·σ·√T")</f>
        <v/>
      </c>
      <c r="J5" s="73">
        <f>'Расчёт'!D28</f>
        <v/>
      </c>
      <c r="K5" s="73">
        <f>'Расчёт'!D16</f>
        <v/>
      </c>
      <c r="L5" s="12">
        <f>C5-J5</f>
        <v/>
      </c>
      <c r="M5" s="12">
        <f>C5-K5</f>
        <v/>
      </c>
      <c r="N5" s="30">
        <f>L5/C5*100</f>
        <v/>
      </c>
      <c r="O5" s="30">
        <f>M5/C5*100</f>
        <v/>
      </c>
      <c r="P5" s="73">
        <f>'Расчёт'!D8</f>
        <v/>
      </c>
      <c r="Q5" s="75">
        <f>IF(P5&gt;=C5,"НАРУШЕНИЕ",IF(P5&gt;=M5,"КРАСНАЯ",IF(P5&gt;=L5,"ЖЁЛТАЯ","зелёная")))</f>
        <v/>
      </c>
      <c r="R5" s="15">
        <f>(C5-P5)/E5</f>
        <v/>
      </c>
      <c r="S5" s="12">
        <f>E5/SQRT(2*(D5-1))</f>
        <v/>
      </c>
      <c r="T5" s="76">
        <f>COUNTIF(v,"&lt;"&amp;L5)</f>
        <v/>
      </c>
      <c r="U5" s="77">
        <f>COUNTIF(v,"&lt;"&amp;M5)-T5</f>
        <v/>
      </c>
      <c r="V5" s="78">
        <f>COUNTIF(v,"&lt;"&amp;C5)-T5-U5</f>
        <v/>
      </c>
      <c r="W5" s="79">
        <f>COUNTIF(v,"&gt;="&amp;C5)</f>
        <v/>
      </c>
      <c r="X5" s="20" t="inlineStr">
        <is>
          <t>Единственная метрика, проходящая и три формальных критерия, и решающую проверку (расхождение +21 % при пороге 25 %). M(T) без оговорок</t>
        </is>
      </c>
    </row>
    <row r="6" ht="40" customHeight="1">
      <c r="A6" s="4" t="inlineStr">
        <is>
          <t>CoR — стоимость риска (KB_PB) — обычные месяцы</t>
        </is>
      </c>
      <c r="B6" s="16" t="inlineStr">
        <is>
          <t>KB_PB</t>
        </is>
      </c>
      <c r="C6" s="15" t="n">
        <v>3</v>
      </c>
      <c r="D6" s="80">
        <f>COUNT('Ряд'!U6:U40)</f>
        <v/>
      </c>
      <c r="E6" s="12">
        <f>STDEV('Ряд'!U6:U40)</f>
        <v/>
      </c>
      <c r="F6" s="15">
        <f>'Расчёт'!G57</f>
        <v/>
      </c>
      <c r="G6" s="12">
        <f>'Расчёт'!H57</f>
        <v/>
      </c>
      <c r="H6" s="16">
        <f>'Расчёт'!C57</f>
        <v/>
      </c>
      <c r="I6" s="35">
        <f>"ист. симуляция — обычные месяцы"</f>
        <v/>
      </c>
      <c r="J6" s="12">
        <f>MAX(PERCENTILE('Ряд'!Y9:Y40,p_conf),K6)</f>
        <v/>
      </c>
      <c r="K6" s="12">
        <f>PERCENTILE('Ряд'!U6:U40,p_conf)</f>
        <v/>
      </c>
      <c r="L6" s="12">
        <f>C6-J6</f>
        <v/>
      </c>
      <c r="M6" s="12">
        <f>C6-K6</f>
        <v/>
      </c>
      <c r="N6" s="30">
        <f>L6/C6*100</f>
        <v/>
      </c>
      <c r="O6" s="30">
        <f>M6/C6*100</f>
        <v/>
      </c>
      <c r="P6" s="12">
        <f>'Ряд'!O40</f>
        <v/>
      </c>
      <c r="Q6" s="75">
        <f>IF(P6&gt;=C6,"НАРУШЕНИЕ",IF(P6&gt;=M6,"КРАСНАЯ",IF(P6&gt;=L6,"ЖЁЛТАЯ","зелёная")))</f>
        <v/>
      </c>
      <c r="R6" s="15">
        <f>(C6-P6)/E6</f>
        <v/>
      </c>
      <c r="S6" s="12">
        <f>E6/SQRT(2*(D6-1))</f>
        <v/>
      </c>
      <c r="T6" s="76">
        <f>COUNTIFS('Ряд'!$T$5:$T$40,0,cor_kb,"&lt;"&amp;L6)</f>
        <v/>
      </c>
      <c r="U6" s="77">
        <f>COUNTIFS('Ряд'!$T$5:$T$40,0,cor_kb,"&lt;"&amp;M6)-T6</f>
        <v/>
      </c>
      <c r="V6" s="78">
        <f>COUNTIFS('Ряд'!$T$5:$T$40,0,cor_kb,"&lt;"&amp;C6)-T6-U6</f>
        <v/>
      </c>
      <c r="W6" s="79">
        <f>COUNTIFS('Ряд'!$T$5:$T$40,0,cor_kb,"&gt;="&amp;C6)</f>
        <v/>
      </c>
      <c r="X6" s="20" t="inlineStr">
        <is>
          <t>Замена: M(4) = 3,2850 больше самого лимита 3,00, граница зелёной уходила в минус — зона вырождалась. Эмпирический квантиль по обычным месяцам, σ здесь 0,5998 против смешанной 1,2817</t>
        </is>
      </c>
    </row>
    <row r="7" ht="40" customHeight="1">
      <c r="A7" s="4" t="inlineStr">
        <is>
          <t>CoR — стоимость риска (KB_PB) — окно закрытия (фев–март)</t>
        </is>
      </c>
      <c r="B7" s="16" t="inlineStr">
        <is>
          <t>KB_PB</t>
        </is>
      </c>
      <c r="C7" s="15" t="n">
        <v>3</v>
      </c>
      <c r="D7" s="80">
        <f>COUNT('Ряд'!V6:V40)</f>
        <v/>
      </c>
      <c r="E7" s="12">
        <f>STDEV('Ряд'!V6:V40)</f>
        <v/>
      </c>
      <c r="F7" s="15">
        <f>'Расчёт'!G57</f>
        <v/>
      </c>
      <c r="G7" s="12">
        <f>'Расчёт'!H57</f>
        <v/>
      </c>
      <c r="H7" s="16">
        <f>'Расчёт'!C57</f>
        <v/>
      </c>
      <c r="I7" s="35">
        <f>"ист. симуляция — окно закрытия (фев–март)"</f>
        <v/>
      </c>
      <c r="J7" s="12">
        <f>MAX(PERCENTILE('Ряд'!Z9:Z40,p_conf),K7)</f>
        <v/>
      </c>
      <c r="K7" s="12">
        <f>PERCENTILE('Ряд'!V6:V40,p_conf)</f>
        <v/>
      </c>
      <c r="L7" s="12">
        <f>C7-J7</f>
        <v/>
      </c>
      <c r="M7" s="12">
        <f>C7-K7</f>
        <v/>
      </c>
      <c r="N7" s="30">
        <f>L7/C7*100</f>
        <v/>
      </c>
      <c r="O7" s="30">
        <f>M7/C7*100</f>
        <v/>
      </c>
      <c r="P7" s="12">
        <f>'Ряд'!O40</f>
        <v/>
      </c>
      <c r="Q7" s="75">
        <f>IF(P7&gt;=C7,"НАРУШЕНИЕ",IF(P7&gt;=M7,"КРАСНАЯ",IF(P7&gt;=L7,"ЖЁЛТАЯ","зелёная")))</f>
        <v/>
      </c>
      <c r="R7" s="15">
        <f>(C7-P7)/E7</f>
        <v/>
      </c>
      <c r="S7" s="12">
        <f>E7/SQRT(2*(D7-1))</f>
        <v/>
      </c>
      <c r="T7" s="76">
        <f>COUNTIFS('Ряд'!$T$5:$T$40,1,cor_kb,"&lt;"&amp;L7)</f>
        <v/>
      </c>
      <c r="U7" s="77">
        <f>COUNTIFS('Ряд'!$T$5:$T$40,1,cor_kb,"&lt;"&amp;M7)-T7</f>
        <v/>
      </c>
      <c r="V7" s="78">
        <f>COUNTIFS('Ряд'!$T$5:$T$40,1,cor_kb,"&lt;"&amp;C7)-T7-U7</f>
        <v/>
      </c>
      <c r="W7" s="79">
        <f>COUNTIFS('Ряд'!$T$5:$T$40,1,cor_kb,"&gt;="&amp;C7)</f>
        <v/>
      </c>
      <c r="X7" s="20" t="inlineStr">
        <is>
          <t>Тот же метод, окно годового закрытия (февраль-март, Г36): σ здесь 3,0257, впятеро выше обычной. Лестница вырождается в ДВЕ зоны — Q90 четырёхмесячных изменений меньше месячного, выправлено МАКС</t>
        </is>
      </c>
    </row>
    <row r="8" ht="40" customHeight="1">
      <c r="A8" s="4" t="inlineStr">
        <is>
          <t>CoR — стоимость риска (MSB) — обычные месяцы</t>
        </is>
      </c>
      <c r="B8" s="16" t="inlineStr">
        <is>
          <t>MSB</t>
        </is>
      </c>
      <c r="C8" s="15" t="n">
        <v>3.5</v>
      </c>
      <c r="D8" s="80">
        <f>COUNT('Ряд'!AA6:AA40)</f>
        <v/>
      </c>
      <c r="E8" s="12">
        <f>STDEV('Ряд'!AA6:AA40)</f>
        <v/>
      </c>
      <c r="F8" s="15">
        <f>'Расчёт'!G58</f>
        <v/>
      </c>
      <c r="G8" s="12">
        <f>'Расчёт'!H58</f>
        <v/>
      </c>
      <c r="H8" s="16">
        <f>'Расчёт'!C58</f>
        <v/>
      </c>
      <c r="I8" s="35">
        <f>"ист. симуляция — обычные месяцы"</f>
        <v/>
      </c>
      <c r="J8" s="12">
        <f>MAX(PERCENTILE('Ряд'!AD9:AD40,p_conf),K8)</f>
        <v/>
      </c>
      <c r="K8" s="12">
        <f>PERCENTILE('Ряд'!AA6:AA40,p_conf)</f>
        <v/>
      </c>
      <c r="L8" s="12">
        <f>C8-J8</f>
        <v/>
      </c>
      <c r="M8" s="12">
        <f>C8-K8</f>
        <v/>
      </c>
      <c r="N8" s="30">
        <f>L8/C8*100</f>
        <v/>
      </c>
      <c r="O8" s="30">
        <f>M8/C8*100</f>
        <v/>
      </c>
      <c r="P8" s="12">
        <f>'Ряд'!R40</f>
        <v/>
      </c>
      <c r="Q8" s="75">
        <f>IF(P8&gt;=C8,"НАРУШЕНИЕ",IF(P8&gt;=M8,"КРАСНАЯ",IF(P8&gt;=L8,"ЖЁЛТАЯ","зелёная")))</f>
        <v/>
      </c>
      <c r="R8" s="15">
        <f>(C8-P8)/E8</f>
        <v/>
      </c>
      <c r="S8" s="12">
        <f>E8/SQRT(2*(D8-1))</f>
        <v/>
      </c>
      <c r="T8" s="76">
        <f>COUNTIFS('Ряд'!$T$5:$T$40,0,cor_ms,"&lt;"&amp;L8)</f>
        <v/>
      </c>
      <c r="U8" s="77">
        <f>COUNTIFS('Ряд'!$T$5:$T$40,0,cor_ms,"&lt;"&amp;M8)-T8</f>
        <v/>
      </c>
      <c r="V8" s="78">
        <f>COUNTIFS('Ряд'!$T$5:$T$40,0,cor_ms,"&lt;"&amp;C8)-T8-U8</f>
        <v/>
      </c>
      <c r="W8" s="79">
        <f>COUNTIFS('Ряд'!$T$5:$T$40,0,cor_ms,"&gt;="&amp;C8)</f>
        <v/>
      </c>
      <c r="X8" s="20" t="inlineStr">
        <is>
          <t>РЕШЕНИЕ, а не вердикт: сама по себе метрика проходит на M(T) (завышение 28,4 % — чуть выше порога 25 %), но размечена эмпирически ради сопоставимости с КБ/ПБ внутри пары CoR</t>
        </is>
      </c>
    </row>
    <row r="9" ht="40" customHeight="1">
      <c r="A9" s="4" t="inlineStr">
        <is>
          <t>CoR — стоимость риска (MSB) — окно закрытия (фев–март)</t>
        </is>
      </c>
      <c r="B9" s="16" t="inlineStr">
        <is>
          <t>MSB</t>
        </is>
      </c>
      <c r="C9" s="15" t="n">
        <v>3.5</v>
      </c>
      <c r="D9" s="80">
        <f>COUNT('Ряд'!AB6:AB40)</f>
        <v/>
      </c>
      <c r="E9" s="12">
        <f>STDEV('Ряд'!AB6:AB40)</f>
        <v/>
      </c>
      <c r="F9" s="15">
        <f>'Расчёт'!G58</f>
        <v/>
      </c>
      <c r="G9" s="12">
        <f>'Расчёт'!H58</f>
        <v/>
      </c>
      <c r="H9" s="16">
        <f>'Расчёт'!C58</f>
        <v/>
      </c>
      <c r="I9" s="35">
        <f>"ист. симуляция — окно закрытия (фев–март)"</f>
        <v/>
      </c>
      <c r="J9" s="12">
        <f>MAX(PERCENTILE('Ряд'!AE9:AE40,p_conf),K9)</f>
        <v/>
      </c>
      <c r="K9" s="12">
        <f>PERCENTILE('Ряд'!AB6:AB40,p_conf)</f>
        <v/>
      </c>
      <c r="L9" s="12">
        <f>C9-J9</f>
        <v/>
      </c>
      <c r="M9" s="12">
        <f>C9-K9</f>
        <v/>
      </c>
      <c r="N9" s="30">
        <f>L9/C9*100</f>
        <v/>
      </c>
      <c r="O9" s="30">
        <f>M9/C9*100</f>
        <v/>
      </c>
      <c r="P9" s="12">
        <f>'Ряд'!R40</f>
        <v/>
      </c>
      <c r="Q9" s="75">
        <f>IF(P9&gt;=C9,"НАРУШЕНИЕ",IF(P9&gt;=M9,"КРАСНАЯ",IF(P9&gt;=L9,"ЖЁЛТАЯ","зелёная")))</f>
        <v/>
      </c>
      <c r="R9" s="15">
        <f>(C9-P9)/E9</f>
        <v/>
      </c>
      <c r="S9" s="12">
        <f>E9/SQRT(2*(D9-1))</f>
        <v/>
      </c>
      <c r="T9" s="76">
        <f>COUNTIFS('Ряд'!$T$5:$T$40,1,cor_ms,"&lt;"&amp;L9)</f>
        <v/>
      </c>
      <c r="U9" s="77">
        <f>COUNTIFS('Ряд'!$T$5:$T$40,1,cor_ms,"&lt;"&amp;M9)-T9</f>
        <v/>
      </c>
      <c r="V9" s="78">
        <f>COUNTIFS('Ряд'!$T$5:$T$40,1,cor_ms,"&lt;"&amp;C9)-T9-U9</f>
        <v/>
      </c>
      <c r="W9" s="79">
        <f>COUNTIFS('Ряд'!$T$5:$T$40,1,cor_ms,"&gt;="&amp;C9)</f>
        <v/>
      </c>
      <c r="X9" s="20" t="inlineStr">
        <is>
          <t>Окно закрытия, σ 1,5441 против 0,3179 в обычные месяцы. Наблюдений шесть: квантиль 0,90 по ним есть фактически максимум выборки</t>
        </is>
      </c>
    </row>
    <row r="10" ht="40" customHeight="1">
      <c r="A10" s="4">
        <f>'Метрики — ряд'!A5</f>
        <v/>
      </c>
      <c r="B10" s="16">
        <f>'Метрики — ряд'!B5</f>
        <v/>
      </c>
      <c r="C10" s="15">
        <f>'Метрики — ряд'!C5</f>
        <v/>
      </c>
      <c r="D10" s="80">
        <f>COUNT('Метрики — ряд'!AO5:BW5)</f>
        <v/>
      </c>
      <c r="E10" s="12">
        <f>STDEV('Метрики — ряд'!AO5:BW5)</f>
        <v/>
      </c>
      <c r="F10" s="15">
        <f>'Расчёт'!G59</f>
        <v/>
      </c>
      <c r="G10" s="12">
        <f>'Расчёт'!H59</f>
        <v/>
      </c>
      <c r="H10" s="16">
        <f>'Расчёт'!C59</f>
        <v/>
      </c>
      <c r="I10" s="35">
        <f>IF(LEFT('Расчёт'!N59,6)="ЗАМЕНА","ист. симуляция","M(T) = z·σ·√T")</f>
        <v/>
      </c>
      <c r="J10" s="12">
        <f>z_p*E10*SQRT(4)</f>
        <v/>
      </c>
      <c r="K10" s="12">
        <f>z_p*E10*SQRT(1)</f>
        <v/>
      </c>
      <c r="L10" s="12">
        <f>C10-J10</f>
        <v/>
      </c>
      <c r="M10" s="12">
        <f>C10-K10</f>
        <v/>
      </c>
      <c r="N10" s="30">
        <f>L10/C10*100</f>
        <v/>
      </c>
      <c r="O10" s="30">
        <f>M10/C10*100</f>
        <v/>
      </c>
      <c r="P10" s="12">
        <f>'Метрики — ряд'!AM5</f>
        <v/>
      </c>
      <c r="Q10" s="75">
        <f>IF(P10&gt;=C10,"НАРУШЕНИЕ",IF(P10&gt;=M10,"КРАСНАЯ",IF(P10&gt;=L10,"ЖЁЛТАЯ","зелёная")))</f>
        <v/>
      </c>
      <c r="R10" s="15">
        <f>(C10-P10)/E10</f>
        <v/>
      </c>
      <c r="S10" s="12">
        <f>E10/SQRT(2*(D10-1))</f>
        <v/>
      </c>
      <c r="T10" s="76">
        <f>COUNTIF('Метрики — ряд'!D5:AM5,"&lt;"&amp;L10)</f>
        <v/>
      </c>
      <c r="U10" s="77">
        <f>COUNTIF('Метрики — ряд'!D5:AM5,"&lt;"&amp;M10)-T10</f>
        <v/>
      </c>
      <c r="V10" s="78">
        <f>COUNTIF('Метрики — ряд'!D5:AM5,"&lt;"&amp;C10)-T10-U10</f>
        <v/>
      </c>
      <c r="W10" s="79">
        <f>COUNTIF('Метрики — ряд'!D5:AM5,"&gt;="&amp;C10)</f>
        <v/>
      </c>
      <c r="X10" s="20" t="inlineStr">
        <is>
          <t>Решающая проверка: Завышение 128 % — снос, а не хвосты: метрика падает три года, а M(T) считает снос нулевым. Завышение безопасно</t>
        </is>
      </c>
    </row>
    <row r="11" ht="40" customHeight="1">
      <c r="A11" s="4">
        <f>'Метрики — ряд'!A6</f>
        <v/>
      </c>
      <c r="B11" s="16">
        <f>'Метрики — ряд'!B6</f>
        <v/>
      </c>
      <c r="C11" s="15">
        <f>'Метрики — ряд'!C6</f>
        <v/>
      </c>
      <c r="D11" s="80">
        <f>COUNT('Метрики — ряд'!AO6:BW6)</f>
        <v/>
      </c>
      <c r="E11" s="12">
        <f>STDEV('Метрики — ряд'!AO6:BW6)</f>
        <v/>
      </c>
      <c r="F11" s="15">
        <f>'Расчёт'!G60</f>
        <v/>
      </c>
      <c r="G11" s="12">
        <f>'Расчёт'!H60</f>
        <v/>
      </c>
      <c r="H11" s="16">
        <f>'Расчёт'!C60</f>
        <v/>
      </c>
      <c r="I11" s="35">
        <f>IF(LEFT('Расчёт'!N60,6)="ЗАМЕНА","ист. симуляция","M(T) = z·σ·√T")</f>
        <v/>
      </c>
      <c r="J11" s="12">
        <f>z_p*E11*SQRT(4)</f>
        <v/>
      </c>
      <c r="K11" s="12">
        <f>z_p*E11*SQRT(1)</f>
        <v/>
      </c>
      <c r="L11" s="12">
        <f>C11-J11</f>
        <v/>
      </c>
      <c r="M11" s="12">
        <f>C11-K11</f>
        <v/>
      </c>
      <c r="N11" s="30">
        <f>L11/C11*100</f>
        <v/>
      </c>
      <c r="O11" s="30">
        <f>M11/C11*100</f>
        <v/>
      </c>
      <c r="P11" s="12">
        <f>'Метрики — ряд'!AM6</f>
        <v/>
      </c>
      <c r="Q11" s="75">
        <f>IF(P11&gt;=C11,"НАРУШЕНИЕ",IF(P11&gt;=M11,"КРАСНАЯ",IF(P11&gt;=L11,"ЖЁЛТАЯ","зелёная")))</f>
        <v/>
      </c>
      <c r="R11" s="15">
        <f>(C11-P11)/E11</f>
        <v/>
      </c>
      <c r="S11" s="12">
        <f>E11/SQRT(2*(D11-1))</f>
        <v/>
      </c>
      <c r="T11" s="76">
        <f>COUNTIF('Метрики — ряд'!D6:AM6,"&lt;"&amp;L11)</f>
        <v/>
      </c>
      <c r="U11" s="77">
        <f>COUNTIF('Метрики — ряд'!D6:AM6,"&lt;"&amp;M11)-T11</f>
        <v/>
      </c>
      <c r="V11" s="78">
        <f>COUNTIF('Метрики — ряд'!D6:AM6,"&lt;"&amp;C11)-T11-U11</f>
        <v/>
      </c>
      <c r="W11" s="79">
        <f>COUNTIF('Метрики — ряд'!D6:AM6,"&gt;="&amp;C11)</f>
        <v/>
      </c>
      <c r="X11" s="20" t="inlineStr">
        <is>
          <t>Решающая проверка: Завышение 28 %, на границе порога. Остаётся на M(T)</t>
        </is>
      </c>
    </row>
    <row r="12" ht="40" customHeight="1">
      <c r="A12" s="4">
        <f>'Метрики — ряд'!A7</f>
        <v/>
      </c>
      <c r="B12" s="16">
        <f>'Метрики — ряд'!B7</f>
        <v/>
      </c>
      <c r="C12" s="15">
        <f>'Метрики — ряд'!C7</f>
        <v/>
      </c>
      <c r="D12" s="80">
        <f>COUNT('Метрики — ряд'!AO7:BW7)</f>
        <v/>
      </c>
      <c r="E12" s="12">
        <f>STDEV('Метрики — ряд'!AO7:BW7)</f>
        <v/>
      </c>
      <c r="F12" s="15">
        <f>'Расчёт'!G61</f>
        <v/>
      </c>
      <c r="G12" s="12">
        <f>'Расчёт'!H61</f>
        <v/>
      </c>
      <c r="H12" s="16">
        <f>'Расчёт'!C61</f>
        <v/>
      </c>
      <c r="I12" s="35">
        <f>IF(LEFT('Расчёт'!N61,6)="ЗАМЕНА","ист. симуляция","M(T) = z·σ·√T")</f>
        <v/>
      </c>
      <c r="J12" s="12">
        <f>z_p*E12*SQRT(4)</f>
        <v/>
      </c>
      <c r="K12" s="12">
        <f>z_p*E12*SQRT(1)</f>
        <v/>
      </c>
      <c r="L12" s="12">
        <f>C12-J12</f>
        <v/>
      </c>
      <c r="M12" s="12">
        <f>C12-K12</f>
        <v/>
      </c>
      <c r="N12" s="30">
        <f>L12/C12*100</f>
        <v/>
      </c>
      <c r="O12" s="30">
        <f>M12/C12*100</f>
        <v/>
      </c>
      <c r="P12" s="12">
        <f>'Метрики — ряд'!AM7</f>
        <v/>
      </c>
      <c r="Q12" s="75">
        <f>IF(P12&gt;=C12,"НАРУШЕНИЕ",IF(P12&gt;=M12,"КРАСНАЯ",IF(P12&gt;=L12,"ЖЁЛТАЯ","зелёная")))</f>
        <v/>
      </c>
      <c r="R12" s="15">
        <f>(C12-P12)/E12</f>
        <v/>
      </c>
      <c r="S12" s="12">
        <f>E12/SQRT(2*(D12-1))</f>
        <v/>
      </c>
      <c r="T12" s="76">
        <f>COUNTIF('Метрики — ряд'!D7:AM7,"&lt;"&amp;L12)</f>
        <v/>
      </c>
      <c r="U12" s="77">
        <f>COUNTIF('Метрики — ряд'!D7:AM7,"&lt;"&amp;M12)-T12</f>
        <v/>
      </c>
      <c r="V12" s="78">
        <f>COUNTIF('Метрики — ряд'!D7:AM7,"&lt;"&amp;C12)-T12-U12</f>
        <v/>
      </c>
      <c r="W12" s="79">
        <f>COUNTIF('Метрики — ряд'!D7:AM7,"&gt;="&amp;C12)</f>
        <v/>
      </c>
      <c r="X12" s="20" t="inlineStr">
        <is>
          <t>Решающая проверка: Проходит решающую проверку: расхождение −14 %. M(T) применима</t>
        </is>
      </c>
    </row>
    <row r="13" ht="40" customHeight="1">
      <c r="A13" s="4">
        <f>'Метрики — ряд'!A8</f>
        <v/>
      </c>
      <c r="B13" s="16">
        <f>'Метрики — ряд'!B8</f>
        <v/>
      </c>
      <c r="C13" s="15">
        <f>'Метрики — ряд'!C8</f>
        <v/>
      </c>
      <c r="D13" s="80">
        <f>COUNT('Метрики — ряд'!AO8:BW8)</f>
        <v/>
      </c>
      <c r="E13" s="12">
        <f>STDEV('Метрики — ряд'!AO8:BW8)</f>
        <v/>
      </c>
      <c r="F13" s="15">
        <f>'Расчёт'!G62</f>
        <v/>
      </c>
      <c r="G13" s="12">
        <f>'Расчёт'!H62</f>
        <v/>
      </c>
      <c r="H13" s="16">
        <f>'Расчёт'!C62</f>
        <v/>
      </c>
      <c r="I13" s="35">
        <f>IF(LEFT('Расчёт'!N62,6)="ЗАМЕНА","ист. симуляция","M(T) = z·σ·√T")</f>
        <v/>
      </c>
      <c r="J13" s="12">
        <f>z_p*E13*SQRT(4)</f>
        <v/>
      </c>
      <c r="K13" s="12">
        <f>z_p*E13*SQRT(1)</f>
        <v/>
      </c>
      <c r="L13" s="12">
        <f>C13-J13</f>
        <v/>
      </c>
      <c r="M13" s="12">
        <f>C13-K13</f>
        <v/>
      </c>
      <c r="N13" s="30">
        <f>L13/C13*100</f>
        <v/>
      </c>
      <c r="O13" s="30">
        <f>M13/C13*100</f>
        <v/>
      </c>
      <c r="P13" s="12">
        <f>'Метрики — ряд'!AM8</f>
        <v/>
      </c>
      <c r="Q13" s="75">
        <f>IF(P13&gt;=C13,"НАРУШЕНИЕ",IF(P13&gt;=M13,"КРАСНАЯ",IF(P13&gt;=L13,"ЖЁЛТАЯ","зелёная")))</f>
        <v/>
      </c>
      <c r="R13" s="15">
        <f>(C13-P13)/E13</f>
        <v/>
      </c>
      <c r="S13" s="12">
        <f>E13/SQRT(2*(D13-1))</f>
        <v/>
      </c>
      <c r="T13" s="76">
        <f>COUNTIF('Метрики — ряд'!D8:AM8,"&lt;"&amp;L13)</f>
        <v/>
      </c>
      <c r="U13" s="77">
        <f>COUNTIF('Метрики — ряд'!D8:AM8,"&lt;"&amp;M13)-T13</f>
        <v/>
      </c>
      <c r="V13" s="78">
        <f>COUNTIF('Метрики — ряд'!D8:AM8,"&lt;"&amp;C13)-T13-U13</f>
        <v/>
      </c>
      <c r="W13" s="79">
        <f>COUNTIF('Метрики — ряд'!D8:AM8,"&gt;="&amp;C13)</f>
        <v/>
      </c>
      <c r="X13" s="20" t="inlineStr">
        <is>
          <t>Решающая проверка: Завышение 120 % по той же причине, что у EL общего — снос вниз</t>
        </is>
      </c>
    </row>
    <row r="14" ht="40" customHeight="1">
      <c r="A14" s="4">
        <f>'Метрики — ряд'!A9</f>
        <v/>
      </c>
      <c r="B14" s="16">
        <f>'Метрики — ряд'!B9</f>
        <v/>
      </c>
      <c r="C14" s="15">
        <f>'Метрики — ряд'!C9</f>
        <v/>
      </c>
      <c r="D14" s="80">
        <f>COUNT('Метрики — ряд'!AO9:BW9)</f>
        <v/>
      </c>
      <c r="E14" s="12">
        <f>STDEV('Метрики — ряд'!AO9:BW9)</f>
        <v/>
      </c>
      <c r="F14" s="15">
        <f>'Расчёт'!G63</f>
        <v/>
      </c>
      <c r="G14" s="12">
        <f>'Расчёт'!H63</f>
        <v/>
      </c>
      <c r="H14" s="16">
        <f>'Расчёт'!C63</f>
        <v/>
      </c>
      <c r="I14" s="35">
        <f>IF(LEFT('Расчёт'!N63,6)="ЗАМЕНА","ист. симуляция","M(T) = z·σ·√T")</f>
        <v/>
      </c>
      <c r="J14" s="12">
        <f>z_p*E14*SQRT(4)</f>
        <v/>
      </c>
      <c r="K14" s="12">
        <f>z_p*E14*SQRT(1)</f>
        <v/>
      </c>
      <c r="L14" s="12">
        <f>C14-J14</f>
        <v/>
      </c>
      <c r="M14" s="12">
        <f>C14-K14</f>
        <v/>
      </c>
      <c r="N14" s="30">
        <f>L14/C14*100</f>
        <v/>
      </c>
      <c r="O14" s="30">
        <f>M14/C14*100</f>
        <v/>
      </c>
      <c r="P14" s="12">
        <f>'Метрики — ряд'!AM9</f>
        <v/>
      </c>
      <c r="Q14" s="75">
        <f>IF(P14&gt;=C14,"НАРУШЕНИЕ",IF(P14&gt;=M14,"КРАСНАЯ",IF(P14&gt;=L14,"ЖЁЛТАЯ","зелёная")))</f>
        <v/>
      </c>
      <c r="R14" s="15">
        <f>(C14-P14)/E14</f>
        <v/>
      </c>
      <c r="S14" s="12">
        <f>E14/SQRT(2*(D14-1))</f>
        <v/>
      </c>
      <c r="T14" s="76">
        <f>COUNTIF('Метрики — ряд'!D9:AM9,"&lt;"&amp;L14)</f>
        <v/>
      </c>
      <c r="U14" s="77">
        <f>COUNTIF('Метрики — ряд'!D9:AM9,"&lt;"&amp;M14)-T14</f>
        <v/>
      </c>
      <c r="V14" s="78">
        <f>COUNTIF('Метрики — ряд'!D9:AM9,"&lt;"&amp;C14)-T14-U14</f>
        <v/>
      </c>
      <c r="W14" s="79">
        <f>COUNTIF('Метрики — ряд'!D9:AM9,"&gt;="&amp;C14)</f>
        <v/>
      </c>
      <c r="X14" s="20" t="inlineStr">
        <is>
          <t>Решающая проверка: Завышение 83 %: PD падает с 12,13 до 10,96 за девять кварталов</t>
        </is>
      </c>
    </row>
    <row r="15" ht="40" customHeight="1">
      <c r="A15" s="4">
        <f>'Метрики — ряд'!A10</f>
        <v/>
      </c>
      <c r="B15" s="16">
        <f>'Метрики — ряд'!B10</f>
        <v/>
      </c>
      <c r="C15" s="15">
        <f>'Метрики — ряд'!C10</f>
        <v/>
      </c>
      <c r="D15" s="80">
        <f>COUNT('Метрики — ряд'!AO10:BW10)</f>
        <v/>
      </c>
      <c r="E15" s="12">
        <f>STDEV('Метрики — ряд'!AO10:BW10)</f>
        <v/>
      </c>
      <c r="F15" s="15">
        <f>'Расчёт'!G64</f>
        <v/>
      </c>
      <c r="G15" s="12">
        <f>'Расчёт'!H64</f>
        <v/>
      </c>
      <c r="H15" s="16">
        <f>'Расчёт'!C64</f>
        <v/>
      </c>
      <c r="I15" s="35">
        <f>IF(LEFT('Расчёт'!N64,6)="ЗАМЕНА","ист. симуляция","M(T) = z·σ·√T")</f>
        <v/>
      </c>
      <c r="J15" s="12">
        <f>z_p*E15*SQRT(4)</f>
        <v/>
      </c>
      <c r="K15" s="12">
        <f>z_p*E15*SQRT(1)</f>
        <v/>
      </c>
      <c r="L15" s="12">
        <f>C15-J15</f>
        <v/>
      </c>
      <c r="M15" s="12">
        <f>C15-K15</f>
        <v/>
      </c>
      <c r="N15" s="30">
        <f>L15/C15*100</f>
        <v/>
      </c>
      <c r="O15" s="30">
        <f>M15/C15*100</f>
        <v/>
      </c>
      <c r="P15" s="12">
        <f>'Метрики — ряд'!AM10</f>
        <v/>
      </c>
      <c r="Q15" s="75">
        <f>IF(P15&gt;=C15,"НАРУШЕНИЕ",IF(P15&gt;=M15,"КРАСНАЯ",IF(P15&gt;=L15,"ЖЁЛТАЯ","зелёная")))</f>
        <v/>
      </c>
      <c r="R15" s="15">
        <f>(C15-P15)/E15</f>
        <v/>
      </c>
      <c r="S15" s="12">
        <f>E15/SQRT(2*(D15-1))</f>
        <v/>
      </c>
      <c r="T15" s="76">
        <f>COUNTIF('Метрики — ряд'!D10:AM10,"&lt;"&amp;L15)</f>
        <v/>
      </c>
      <c r="U15" s="77">
        <f>COUNTIF('Метрики — ряд'!D10:AM10,"&lt;"&amp;M15)-T15</f>
        <v/>
      </c>
      <c r="V15" s="78">
        <f>COUNTIF('Метрики — ряд'!D10:AM10,"&lt;"&amp;C15)-T15-U15</f>
        <v/>
      </c>
      <c r="W15" s="79">
        <f>COUNTIF('Метрики — ряд'!D10:AM10,"&gt;="&amp;C15)</f>
        <v/>
      </c>
      <c r="X15" s="20" t="inlineStr">
        <is>
          <t>Решающая проверка: Завышение 68 %, та же причина</t>
        </is>
      </c>
    </row>
    <row r="16" ht="40" customHeight="1">
      <c r="A16" s="4">
        <f>'Метрики — ряд'!A11</f>
        <v/>
      </c>
      <c r="B16" s="16">
        <f>'Метрики — ряд'!B11</f>
        <v/>
      </c>
      <c r="C16" s="15">
        <f>'Метрики — ряд'!C11</f>
        <v/>
      </c>
      <c r="D16" s="80">
        <f>COUNT('Метрики — ряд'!AO11:BW11)</f>
        <v/>
      </c>
      <c r="E16" s="12">
        <f>STDEV('Метрики — ряд'!AO11:BW11)</f>
        <v/>
      </c>
      <c r="F16" s="15">
        <f>'Расчёт'!G65</f>
        <v/>
      </c>
      <c r="G16" s="12">
        <f>'Расчёт'!H65</f>
        <v/>
      </c>
      <c r="H16" s="16">
        <f>'Расчёт'!C65</f>
        <v/>
      </c>
      <c r="I16" s="35">
        <f>IF(LEFT('Расчёт'!N65,6)="ЗАМЕНА","ист. симуляция","M(T) = z·σ·√T")</f>
        <v/>
      </c>
      <c r="J16" s="12">
        <f>z_p*E16*SQRT(4)</f>
        <v/>
      </c>
      <c r="K16" s="12">
        <f>z_p*E16*SQRT(1)</f>
        <v/>
      </c>
      <c r="L16" s="12">
        <f>C16-J16</f>
        <v/>
      </c>
      <c r="M16" s="12">
        <f>C16-K16</f>
        <v/>
      </c>
      <c r="N16" s="30">
        <f>L16/C16*100</f>
        <v/>
      </c>
      <c r="O16" s="30">
        <f>M16/C16*100</f>
        <v/>
      </c>
      <c r="P16" s="12">
        <f>'Метрики — ряд'!AM11</f>
        <v/>
      </c>
      <c r="Q16" s="75">
        <f>IF(P16&gt;=C16,"НАРУШЕНИЕ",IF(P16&gt;=M16,"КРАСНАЯ",IF(P16&gt;=L16,"ЖЁЛТАЯ","зелёная")))</f>
        <v/>
      </c>
      <c r="R16" s="15">
        <f>(C16-P16)/E16</f>
        <v/>
      </c>
      <c r="S16" s="12">
        <f>E16/SQRT(2*(D16-1))</f>
        <v/>
      </c>
      <c r="T16" s="76">
        <f>COUNTIF('Метрики — ряд'!D11:AM11,"&lt;"&amp;L16)</f>
        <v/>
      </c>
      <c r="U16" s="77">
        <f>COUNTIF('Метрики — ряд'!D11:AM11,"&lt;"&amp;M16)-T16</f>
        <v/>
      </c>
      <c r="V16" s="78">
        <f>COUNTIF('Метрики — ряд'!D11:AM11,"&lt;"&amp;C16)-T16-U16</f>
        <v/>
      </c>
      <c r="W16" s="79">
        <f>COUNTIF('Метрики — ряд'!D11:AM11,"&gt;="&amp;C16)</f>
        <v/>
      </c>
      <c r="X16" s="20" t="inlineStr">
        <is>
          <t>Решающая проверка: Завышение 523 % — крайний случай сноса: четырёхмесячный рост почти отсутствует, весь ход направлен вниз</t>
        </is>
      </c>
    </row>
    <row r="17" ht="40" customHeight="1">
      <c r="A17" s="4">
        <f>'Метрики — ряд'!A12</f>
        <v/>
      </c>
      <c r="B17" s="16">
        <f>'Метрики — ряд'!B12</f>
        <v/>
      </c>
      <c r="C17" s="15">
        <f>'Метрики — ряд'!C12</f>
        <v/>
      </c>
      <c r="D17" s="80">
        <f>COUNT('Метрики — ряд'!AO12:BW12)</f>
        <v/>
      </c>
      <c r="E17" s="12">
        <f>STDEV('Метрики — ряд'!AO12:BW12)</f>
        <v/>
      </c>
      <c r="F17" s="15">
        <f>'Расчёт'!G66</f>
        <v/>
      </c>
      <c r="G17" s="12">
        <f>'Расчёт'!H66</f>
        <v/>
      </c>
      <c r="H17" s="16">
        <f>'Расчёт'!C66</f>
        <v/>
      </c>
      <c r="I17" s="35">
        <f>IF(LEFT('Расчёт'!N66,6)="ЗАМЕНА","ист. симуляция","M(T) = z·σ·√T")</f>
        <v/>
      </c>
      <c r="J17" s="12">
        <f>z_p*E17*SQRT(4)</f>
        <v/>
      </c>
      <c r="K17" s="12">
        <f>z_p*E17*SQRT(1)</f>
        <v/>
      </c>
      <c r="L17" s="12">
        <f>C17-J17</f>
        <v/>
      </c>
      <c r="M17" s="12">
        <f>C17-K17</f>
        <v/>
      </c>
      <c r="N17" s="30">
        <f>L17/C17*100</f>
        <v/>
      </c>
      <c r="O17" s="30">
        <f>M17/C17*100</f>
        <v/>
      </c>
      <c r="P17" s="12">
        <f>'Метрики — ряд'!AM12</f>
        <v/>
      </c>
      <c r="Q17" s="75">
        <f>IF(P17&gt;=C17,"НАРУШЕНИЕ",IF(P17&gt;=M17,"КРАСНАЯ",IF(P17&gt;=L17,"ЖЁЛТАЯ","зелёная")))</f>
        <v/>
      </c>
      <c r="R17" s="15">
        <f>(C17-P17)/E17</f>
        <v/>
      </c>
      <c r="S17" s="12">
        <f>E17/SQRT(2*(D17-1))</f>
        <v/>
      </c>
      <c r="T17" s="76">
        <f>COUNTIF('Метрики — ряд'!D12:AM12,"&lt;"&amp;L17)</f>
        <v/>
      </c>
      <c r="U17" s="77">
        <f>COUNTIF('Метрики — ряд'!D12:AM12,"&lt;"&amp;M17)-T17</f>
        <v/>
      </c>
      <c r="V17" s="78">
        <f>COUNTIF('Метрики — ряд'!D12:AM12,"&lt;"&amp;C17)-T17-U17</f>
        <v/>
      </c>
      <c r="W17" s="79">
        <f>COUNTIF('Метрики — ряд'!D12:AM12,"&gt;="&amp;C17)</f>
        <v/>
      </c>
      <c r="X17" s="20" t="inlineStr">
        <is>
          <t>Решающая проверка: Расхождение −19 %, внутри порога по модулю, но со знаком «минус»: модель чуть уже факта. Остаётся на M(T), отмечено</t>
        </is>
      </c>
    </row>
    <row r="18" ht="40" customHeight="1">
      <c r="A18" s="4">
        <f>'Метрики — ряд'!A13</f>
        <v/>
      </c>
      <c r="B18" s="16">
        <f>'Метрики — ряд'!B13</f>
        <v/>
      </c>
      <c r="C18" s="15">
        <f>'Метрики — ряд'!C13</f>
        <v/>
      </c>
      <c r="D18" s="80">
        <f>COUNT('Метрики — ряд'!AO13:BW13)</f>
        <v/>
      </c>
      <c r="E18" s="12">
        <f>STDEV('Метрики — ряд'!AO13:BW13)</f>
        <v/>
      </c>
      <c r="F18" s="15">
        <f>'Расчёт'!G67</f>
        <v/>
      </c>
      <c r="G18" s="12">
        <f>'Расчёт'!H67</f>
        <v/>
      </c>
      <c r="H18" s="16">
        <f>'Расчёт'!C67</f>
        <v/>
      </c>
      <c r="I18" s="35">
        <f>IF(LEFT('Расчёт'!N67,6)="ЗАМЕНА","ист. симуляция","M(T) = z·σ·√T")</f>
        <v/>
      </c>
      <c r="J18" s="12">
        <f>z_p*E18*SQRT(4)</f>
        <v/>
      </c>
      <c r="K18" s="12">
        <f>z_p*E18*SQRT(1)</f>
        <v/>
      </c>
      <c r="L18" s="12">
        <f>C18-J18</f>
        <v/>
      </c>
      <c r="M18" s="12">
        <f>C18-K18</f>
        <v/>
      </c>
      <c r="N18" s="30">
        <f>L18/C18*100</f>
        <v/>
      </c>
      <c r="O18" s="30">
        <f>M18/C18*100</f>
        <v/>
      </c>
      <c r="P18" s="12">
        <f>'Метрики — ряд'!AM13</f>
        <v/>
      </c>
      <c r="Q18" s="75">
        <f>IF(P18&gt;=C18,"НАРУШЕНИЕ",IF(P18&gt;=M18,"КРАСНАЯ",IF(P18&gt;=L18,"ЖЁЛТАЯ","зелёная")))</f>
        <v/>
      </c>
      <c r="R18" s="15">
        <f>(C18-P18)/E18</f>
        <v/>
      </c>
      <c r="S18" s="12">
        <f>E18/SQRT(2*(D18-1))</f>
        <v/>
      </c>
      <c r="T18" s="76">
        <f>COUNTIF('Метрики — ряд'!D13:AM13,"&lt;"&amp;L18)</f>
        <v/>
      </c>
      <c r="U18" s="77">
        <f>COUNTIF('Метрики — ряд'!D13:AM13,"&lt;"&amp;M18)-T18</f>
        <v/>
      </c>
      <c r="V18" s="78">
        <f>COUNTIF('Метрики — ряд'!D13:AM13,"&lt;"&amp;C18)-T18-U18</f>
        <v/>
      </c>
      <c r="W18" s="79">
        <f>COUNTIF('Метрики — ряд'!D13:AM13,"&gt;="&amp;C18)</f>
        <v/>
      </c>
      <c r="X18" s="20" t="inlineStr">
        <is>
          <t>Решающая проверка: Завышение 92 %, снос вниз</t>
        </is>
      </c>
    </row>
    <row r="20" ht="52" customHeight="1">
      <c r="A20" s="3" t="inlineStr">
        <is>
          <t>Одиннадцать метрик на M(T), одна на замене — а не девять</t>
        </is>
      </c>
      <c r="B20" s="4" t="inlineStr">
        <is>
          <t>Формально нормальны три из двенадцати, но формальная проверка не решает: M(T) опирается на СУММУ T приращений, которая по ЦПТ ближе к нормальной. Решающая проверка (колонка I, вердикт с листа «Расчёт») показывает, что модель НИГДЕ не занижает буфер — она его завышает, и причина не в хвостах, а в сносе: EL и PD падают три года, а M(T) считает снос нулевым. Завышение безопасно, и снос в зачёт сознательно не берётся. Замена понадобилась одной метрике — CoR КБ/ПБ, где буфер на цикл реагирования не помещался в сам лимит.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7" t="n"/>
    </row>
    <row r="21" ht="44" customHeight="1">
      <c r="A21" s="3" t="inlineStr">
        <is>
          <t>Почему CoR занимает две строки</t>
        </is>
      </c>
      <c r="B21" s="4" t="inlineStr">
        <is>
          <t>У режимной разметки две пары границ, и свернуть их в одну нельзя: именно это сворачивание и дало ошибку, из-за которой КБ/ПБ числилась жёлтой. В обычные месяцы граница зелёной 1,5727, в окне закрытия 0,7306 — вдвое ниже при том же лимите. Точка ряда сравнивается с границей СВОЕГО месяца, поэтому счётчики зон в T–W считаются раздельно по режимам: 28 + 2 обычных и 6 закрытия дают те же 36 точек.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7" t="n"/>
    </row>
    <row r="22" ht="44" customHeight="1">
      <c r="A22" s="3" t="inlineStr">
        <is>
          <t>В окне закрытия зон не три, а две</t>
        </is>
      </c>
      <c r="B22" s="4" t="inlineStr">
        <is>
          <t>Q90 четырёхмесячных изменений там МЕНЬШЕ месячного (снос съедает рост на длинном окне), поэтому граница зелёной совпала с жёлтой после выправления через МАКС. И наблюдений там шесть — три года по два месяца. Квантиль 0,90 по шести есть фактически максимум выборки. Это свойство метода, и подавать его надо вместе с числом.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7" t="n"/>
    </row>
    <row r="23" ht="44" customHeight="1">
      <c r="A23" s="3" t="inlineStr">
        <is>
          <t>Единого процента лимита не существует</t>
        </is>
      </c>
      <c r="B23" s="4" t="inlineStr">
        <is>
          <t>Колонка N разбегается от 24,4 % (CoR КБ/ПБ в окне закрытия) до 99,1 % (PD необеспеченные товарные). Граница в процентах лимита зависит от волатильности относительно лимита: у PD и EL σ крошечная, им граница нужна вплотную; у CoR и топ-20 σ большая. Любой единый порог — компромисс, а не калибровка.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7" t="n"/>
    </row>
    <row r="24" ht="32" customHeight="1">
      <c r="A24" s="5" t="inlineStr">
        <is>
          <t>Расстояние до лимита в собственных σ каждой метрики. Цвет столбика получен из колонки O этого же листа через границы z·√1 и z·√4, поэтому он совпадает с колонкой N по построению. Утилизация слева показана рядом нарочно: у CoR КБ/ПБ она отрицательна, а метрика — вторая ближайшая к лимиту.</t>
        </is>
      </c>
      <c r="B24" s="6" t="n"/>
      <c r="C24" s="6" t="n"/>
      <c r="D24" s="6" t="n"/>
      <c r="E24" s="6" t="n"/>
      <c r="F24" s="6" t="n"/>
      <c r="G24" s="7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7" t="n"/>
    </row>
  </sheetData>
  <mergeCells count="7">
    <mergeCell ref="B22:X22"/>
    <mergeCell ref="B23:X23"/>
    <mergeCell ref="A2:X2"/>
    <mergeCell ref="B21:X21"/>
    <mergeCell ref="B24:X24"/>
    <mergeCell ref="A24:G24"/>
    <mergeCell ref="B20:X20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7" t="inlineStr">
        <is>
          <t>Дата</t>
        </is>
      </c>
      <c r="B4" s="17" t="inlineStr">
        <is>
          <t>ΔСК, %</t>
        </is>
      </c>
      <c r="C4" s="17" t="inlineStr">
        <is>
          <t>ΔЗайм, %</t>
        </is>
      </c>
      <c r="D4" s="17" t="inlineStr">
        <is>
          <t>Коэффициент</t>
        </is>
      </c>
      <c r="E4" s="17" t="inlineStr">
        <is>
          <t>Что сработало</t>
        </is>
      </c>
    </row>
    <row r="5">
      <c r="A5" s="9">
        <f>'Ряд'!A6</f>
        <v/>
      </c>
      <c r="B5" s="15">
        <f>'Ряд'!K6</f>
        <v/>
      </c>
      <c r="C5" s="15">
        <f>'Ряд'!L6</f>
        <v/>
      </c>
      <c r="D5" s="15">
        <f>'Ряд'!H6</f>
        <v/>
      </c>
      <c r="E5" s="16">
        <f>'Ряд'!M6</f>
        <v/>
      </c>
    </row>
    <row r="6">
      <c r="A6" s="9">
        <f>'Ряд'!A7</f>
        <v/>
      </c>
      <c r="B6" s="15">
        <f>'Ряд'!K7</f>
        <v/>
      </c>
      <c r="C6" s="15">
        <f>'Ряд'!L7</f>
        <v/>
      </c>
      <c r="D6" s="15">
        <f>'Ряд'!H7</f>
        <v/>
      </c>
      <c r="E6" s="16">
        <f>'Ряд'!M7</f>
        <v/>
      </c>
    </row>
    <row r="7">
      <c r="A7" s="9">
        <f>'Ряд'!A8</f>
        <v/>
      </c>
      <c r="B7" s="15">
        <f>'Ряд'!K8</f>
        <v/>
      </c>
      <c r="C7" s="15">
        <f>'Ряд'!L8</f>
        <v/>
      </c>
      <c r="D7" s="15">
        <f>'Ряд'!H8</f>
        <v/>
      </c>
      <c r="E7" s="16">
        <f>'Ряд'!M8</f>
        <v/>
      </c>
    </row>
    <row r="8">
      <c r="A8" s="9">
        <f>'Ряд'!A9</f>
        <v/>
      </c>
      <c r="B8" s="15">
        <f>'Ряд'!K9</f>
        <v/>
      </c>
      <c r="C8" s="15">
        <f>'Ряд'!L9</f>
        <v/>
      </c>
      <c r="D8" s="15">
        <f>'Ряд'!H9</f>
        <v/>
      </c>
      <c r="E8" s="16">
        <f>'Ряд'!M9</f>
        <v/>
      </c>
    </row>
    <row r="9">
      <c r="A9" s="9">
        <f>'Ряд'!A10</f>
        <v/>
      </c>
      <c r="B9" s="15">
        <f>'Ряд'!K10</f>
        <v/>
      </c>
      <c r="C9" s="15">
        <f>'Ряд'!L10</f>
        <v/>
      </c>
      <c r="D9" s="15">
        <f>'Ряд'!H10</f>
        <v/>
      </c>
      <c r="E9" s="16">
        <f>'Ряд'!M10</f>
        <v/>
      </c>
    </row>
    <row r="10">
      <c r="A10" s="9">
        <f>'Ряд'!A11</f>
        <v/>
      </c>
      <c r="B10" s="15">
        <f>'Ряд'!K11</f>
        <v/>
      </c>
      <c r="C10" s="15">
        <f>'Ряд'!L11</f>
        <v/>
      </c>
      <c r="D10" s="15">
        <f>'Ряд'!H11</f>
        <v/>
      </c>
      <c r="E10" s="16">
        <f>'Ряд'!M11</f>
        <v/>
      </c>
    </row>
    <row r="11">
      <c r="A11" s="9">
        <f>'Ряд'!A12</f>
        <v/>
      </c>
      <c r="B11" s="15">
        <f>'Ряд'!K12</f>
        <v/>
      </c>
      <c r="C11" s="15">
        <f>'Ряд'!L12</f>
        <v/>
      </c>
      <c r="D11" s="15">
        <f>'Ряд'!H12</f>
        <v/>
      </c>
      <c r="E11" s="16">
        <f>'Ряд'!M12</f>
        <v/>
      </c>
    </row>
    <row r="12">
      <c r="A12" s="9">
        <f>'Ряд'!A13</f>
        <v/>
      </c>
      <c r="B12" s="15">
        <f>'Ряд'!K13</f>
        <v/>
      </c>
      <c r="C12" s="15">
        <f>'Ряд'!L13</f>
        <v/>
      </c>
      <c r="D12" s="15">
        <f>'Ряд'!H13</f>
        <v/>
      </c>
      <c r="E12" s="16">
        <f>'Ряд'!M13</f>
        <v/>
      </c>
    </row>
    <row r="13">
      <c r="A13" s="9">
        <f>'Ряд'!A14</f>
        <v/>
      </c>
      <c r="B13" s="15">
        <f>'Ряд'!K14</f>
        <v/>
      </c>
      <c r="C13" s="15">
        <f>'Ряд'!L14</f>
        <v/>
      </c>
      <c r="D13" s="15">
        <f>'Ряд'!H14</f>
        <v/>
      </c>
      <c r="E13" s="16">
        <f>'Ряд'!M14</f>
        <v/>
      </c>
    </row>
    <row r="14">
      <c r="A14" s="9">
        <f>'Ряд'!A15</f>
        <v/>
      </c>
      <c r="B14" s="15">
        <f>'Ряд'!K15</f>
        <v/>
      </c>
      <c r="C14" s="15">
        <f>'Ряд'!L15</f>
        <v/>
      </c>
      <c r="D14" s="15">
        <f>'Ряд'!H15</f>
        <v/>
      </c>
      <c r="E14" s="16">
        <f>'Ряд'!M15</f>
        <v/>
      </c>
    </row>
    <row r="15">
      <c r="A15" s="9">
        <f>'Ряд'!A16</f>
        <v/>
      </c>
      <c r="B15" s="15">
        <f>'Ряд'!K16</f>
        <v/>
      </c>
      <c r="C15" s="15">
        <f>'Ряд'!L16</f>
        <v/>
      </c>
      <c r="D15" s="15">
        <f>'Ряд'!H16</f>
        <v/>
      </c>
      <c r="E15" s="16">
        <f>'Ряд'!M16</f>
        <v/>
      </c>
    </row>
    <row r="16">
      <c r="A16" s="9">
        <f>'Ряд'!A17</f>
        <v/>
      </c>
      <c r="B16" s="15">
        <f>'Ряд'!K17</f>
        <v/>
      </c>
      <c r="C16" s="15">
        <f>'Ряд'!L17</f>
        <v/>
      </c>
      <c r="D16" s="15">
        <f>'Ряд'!H17</f>
        <v/>
      </c>
      <c r="E16" s="16">
        <f>'Ряд'!M17</f>
        <v/>
      </c>
    </row>
    <row r="17">
      <c r="A17" s="9">
        <f>'Ряд'!A18</f>
        <v/>
      </c>
      <c r="B17" s="15">
        <f>'Ряд'!K18</f>
        <v/>
      </c>
      <c r="C17" s="15">
        <f>'Ряд'!L18</f>
        <v/>
      </c>
      <c r="D17" s="15">
        <f>'Ряд'!H18</f>
        <v/>
      </c>
      <c r="E17" s="16">
        <f>'Ряд'!M18</f>
        <v/>
      </c>
    </row>
    <row r="18">
      <c r="A18" s="9">
        <f>'Ряд'!A19</f>
        <v/>
      </c>
      <c r="B18" s="15">
        <f>'Ряд'!K19</f>
        <v/>
      </c>
      <c r="C18" s="15">
        <f>'Ряд'!L19</f>
        <v/>
      </c>
      <c r="D18" s="15">
        <f>'Ряд'!H19</f>
        <v/>
      </c>
      <c r="E18" s="16">
        <f>'Ряд'!M19</f>
        <v/>
      </c>
    </row>
    <row r="19">
      <c r="A19" s="9">
        <f>'Ряд'!A20</f>
        <v/>
      </c>
      <c r="B19" s="15">
        <f>'Ряд'!K20</f>
        <v/>
      </c>
      <c r="C19" s="15">
        <f>'Ряд'!L20</f>
        <v/>
      </c>
      <c r="D19" s="15">
        <f>'Ряд'!H20</f>
        <v/>
      </c>
      <c r="E19" s="16">
        <f>'Ряд'!M20</f>
        <v/>
      </c>
    </row>
    <row r="20">
      <c r="A20" s="9">
        <f>'Ряд'!A21</f>
        <v/>
      </c>
      <c r="B20" s="15">
        <f>'Ряд'!K21</f>
        <v/>
      </c>
      <c r="C20" s="15">
        <f>'Ряд'!L21</f>
        <v/>
      </c>
      <c r="D20" s="15">
        <f>'Ряд'!H21</f>
        <v/>
      </c>
      <c r="E20" s="16">
        <f>'Ряд'!M21</f>
        <v/>
      </c>
    </row>
    <row r="21">
      <c r="A21" s="9">
        <f>'Ряд'!A22</f>
        <v/>
      </c>
      <c r="B21" s="15">
        <f>'Ряд'!K22</f>
        <v/>
      </c>
      <c r="C21" s="15">
        <f>'Ряд'!L22</f>
        <v/>
      </c>
      <c r="D21" s="15">
        <f>'Ряд'!H22</f>
        <v/>
      </c>
      <c r="E21" s="16">
        <f>'Ряд'!M22</f>
        <v/>
      </c>
    </row>
    <row r="22">
      <c r="A22" s="9">
        <f>'Ряд'!A23</f>
        <v/>
      </c>
      <c r="B22" s="15">
        <f>'Ряд'!K23</f>
        <v/>
      </c>
      <c r="C22" s="15">
        <f>'Ряд'!L23</f>
        <v/>
      </c>
      <c r="D22" s="15">
        <f>'Ряд'!H23</f>
        <v/>
      </c>
      <c r="E22" s="16">
        <f>'Ряд'!M23</f>
        <v/>
      </c>
    </row>
    <row r="23">
      <c r="A23" s="9">
        <f>'Ряд'!A24</f>
        <v/>
      </c>
      <c r="B23" s="15">
        <f>'Ряд'!K24</f>
        <v/>
      </c>
      <c r="C23" s="15">
        <f>'Ряд'!L24</f>
        <v/>
      </c>
      <c r="D23" s="15">
        <f>'Ряд'!H24</f>
        <v/>
      </c>
      <c r="E23" s="16">
        <f>'Ряд'!M24</f>
        <v/>
      </c>
    </row>
    <row r="24">
      <c r="A24" s="9">
        <f>'Ряд'!A25</f>
        <v/>
      </c>
      <c r="B24" s="15">
        <f>'Ряд'!K25</f>
        <v/>
      </c>
      <c r="C24" s="15">
        <f>'Ряд'!L25</f>
        <v/>
      </c>
      <c r="D24" s="15">
        <f>'Ряд'!H25</f>
        <v/>
      </c>
      <c r="E24" s="16">
        <f>'Ряд'!M25</f>
        <v/>
      </c>
    </row>
    <row r="25">
      <c r="A25" s="9">
        <f>'Ряд'!A26</f>
        <v/>
      </c>
      <c r="B25" s="15">
        <f>'Ряд'!K26</f>
        <v/>
      </c>
      <c r="C25" s="15">
        <f>'Ряд'!L26</f>
        <v/>
      </c>
      <c r="D25" s="15">
        <f>'Ряд'!H26</f>
        <v/>
      </c>
      <c r="E25" s="16">
        <f>'Ряд'!M26</f>
        <v/>
      </c>
    </row>
    <row r="26">
      <c r="A26" s="9">
        <f>'Ряд'!A27</f>
        <v/>
      </c>
      <c r="B26" s="15">
        <f>'Ряд'!K27</f>
        <v/>
      </c>
      <c r="C26" s="15">
        <f>'Ряд'!L27</f>
        <v/>
      </c>
      <c r="D26" s="15">
        <f>'Ряд'!H27</f>
        <v/>
      </c>
      <c r="E26" s="16">
        <f>'Ряд'!M27</f>
        <v/>
      </c>
    </row>
    <row r="27">
      <c r="A27" s="9">
        <f>'Ряд'!A28</f>
        <v/>
      </c>
      <c r="B27" s="15">
        <f>'Ряд'!K28</f>
        <v/>
      </c>
      <c r="C27" s="15">
        <f>'Ряд'!L28</f>
        <v/>
      </c>
      <c r="D27" s="15">
        <f>'Ряд'!H28</f>
        <v/>
      </c>
      <c r="E27" s="16">
        <f>'Ряд'!M28</f>
        <v/>
      </c>
    </row>
    <row r="28">
      <c r="A28" s="9">
        <f>'Ряд'!A29</f>
        <v/>
      </c>
      <c r="B28" s="15">
        <f>'Ряд'!K29</f>
        <v/>
      </c>
      <c r="C28" s="15">
        <f>'Ряд'!L29</f>
        <v/>
      </c>
      <c r="D28" s="15">
        <f>'Ряд'!H29</f>
        <v/>
      </c>
      <c r="E28" s="16">
        <f>'Ряд'!M29</f>
        <v/>
      </c>
    </row>
    <row r="29">
      <c r="A29" s="9">
        <f>'Ряд'!A30</f>
        <v/>
      </c>
      <c r="B29" s="15">
        <f>'Ряд'!K30</f>
        <v/>
      </c>
      <c r="C29" s="15">
        <f>'Ряд'!L30</f>
        <v/>
      </c>
      <c r="D29" s="15">
        <f>'Ряд'!H30</f>
        <v/>
      </c>
      <c r="E29" s="16">
        <f>'Ряд'!M30</f>
        <v/>
      </c>
    </row>
    <row r="30">
      <c r="A30" s="9">
        <f>'Ряд'!A31</f>
        <v/>
      </c>
      <c r="B30" s="15">
        <f>'Ряд'!K31</f>
        <v/>
      </c>
      <c r="C30" s="15">
        <f>'Ряд'!L31</f>
        <v/>
      </c>
      <c r="D30" s="15">
        <f>'Ряд'!H31</f>
        <v/>
      </c>
      <c r="E30" s="16">
        <f>'Ряд'!M31</f>
        <v/>
      </c>
    </row>
    <row r="31">
      <c r="A31" s="9">
        <f>'Ряд'!A32</f>
        <v/>
      </c>
      <c r="B31" s="15">
        <f>'Ряд'!K32</f>
        <v/>
      </c>
      <c r="C31" s="15">
        <f>'Ряд'!L32</f>
        <v/>
      </c>
      <c r="D31" s="15">
        <f>'Ряд'!H32</f>
        <v/>
      </c>
      <c r="E31" s="16">
        <f>'Ряд'!M32</f>
        <v/>
      </c>
    </row>
    <row r="32">
      <c r="A32" s="9">
        <f>'Ряд'!A33</f>
        <v/>
      </c>
      <c r="B32" s="15">
        <f>'Ряд'!K33</f>
        <v/>
      </c>
      <c r="C32" s="15">
        <f>'Ряд'!L33</f>
        <v/>
      </c>
      <c r="D32" s="15">
        <f>'Ряд'!H33</f>
        <v/>
      </c>
      <c r="E32" s="16">
        <f>'Ряд'!M33</f>
        <v/>
      </c>
    </row>
    <row r="33">
      <c r="A33" s="9">
        <f>'Ряд'!A34</f>
        <v/>
      </c>
      <c r="B33" s="15">
        <f>'Ряд'!K34</f>
        <v/>
      </c>
      <c r="C33" s="15">
        <f>'Ряд'!L34</f>
        <v/>
      </c>
      <c r="D33" s="15">
        <f>'Ряд'!H34</f>
        <v/>
      </c>
      <c r="E33" s="16">
        <f>'Ряд'!M34</f>
        <v/>
      </c>
    </row>
    <row r="34">
      <c r="A34" s="9">
        <f>'Ряд'!A35</f>
        <v/>
      </c>
      <c r="B34" s="15">
        <f>'Ряд'!K35</f>
        <v/>
      </c>
      <c r="C34" s="15">
        <f>'Ряд'!L35</f>
        <v/>
      </c>
      <c r="D34" s="15">
        <f>'Ряд'!H35</f>
        <v/>
      </c>
      <c r="E34" s="16">
        <f>'Ряд'!M35</f>
        <v/>
      </c>
    </row>
    <row r="35">
      <c r="A35" s="9">
        <f>'Ряд'!A36</f>
        <v/>
      </c>
      <c r="B35" s="15">
        <f>'Ряд'!K36</f>
        <v/>
      </c>
      <c r="C35" s="15">
        <f>'Ряд'!L36</f>
        <v/>
      </c>
      <c r="D35" s="15">
        <f>'Ряд'!H36</f>
        <v/>
      </c>
      <c r="E35" s="16">
        <f>'Ряд'!M36</f>
        <v/>
      </c>
    </row>
    <row r="36">
      <c r="A36" s="9">
        <f>'Ряд'!A37</f>
        <v/>
      </c>
      <c r="B36" s="15">
        <f>'Ряд'!K37</f>
        <v/>
      </c>
      <c r="C36" s="15">
        <f>'Ряд'!L37</f>
        <v/>
      </c>
      <c r="D36" s="15">
        <f>'Ряд'!H37</f>
        <v/>
      </c>
      <c r="E36" s="16">
        <f>'Ряд'!M37</f>
        <v/>
      </c>
    </row>
    <row r="37">
      <c r="A37" s="9">
        <f>'Ряд'!A38</f>
        <v/>
      </c>
      <c r="B37" s="15">
        <f>'Ряд'!K38</f>
        <v/>
      </c>
      <c r="C37" s="15">
        <f>'Ряд'!L38</f>
        <v/>
      </c>
      <c r="D37" s="15">
        <f>'Ряд'!H38</f>
        <v/>
      </c>
      <c r="E37" s="16">
        <f>'Ряд'!M38</f>
        <v/>
      </c>
    </row>
    <row r="38">
      <c r="A38" s="9">
        <f>'Ряд'!A39</f>
        <v/>
      </c>
      <c r="B38" s="15">
        <f>'Ряд'!K39</f>
        <v/>
      </c>
      <c r="C38" s="15">
        <f>'Ряд'!L39</f>
        <v/>
      </c>
      <c r="D38" s="15">
        <f>'Ряд'!H39</f>
        <v/>
      </c>
      <c r="E38" s="16">
        <f>'Ряд'!M39</f>
        <v/>
      </c>
    </row>
    <row r="39">
      <c r="A39" s="9">
        <f>'Ряд'!A40</f>
        <v/>
      </c>
      <c r="B39" s="15">
        <f>'Ряд'!K40</f>
        <v/>
      </c>
      <c r="C39" s="15">
        <f>'Ряд'!L40</f>
        <v/>
      </c>
      <c r="D39" s="15">
        <f>'Ряд'!H40</f>
        <v/>
      </c>
      <c r="E39" s="16">
        <f>'Ряд'!M40</f>
        <v/>
      </c>
    </row>
    <row r="41">
      <c r="A41" s="64" t="inlineStr">
        <is>
          <t>Сработало</t>
        </is>
      </c>
      <c r="B41" s="66">
        <f>COUNTIF(E5:E39,"Займ")+COUNTIF(E5:E39,"СК")+COUNTIF(E5:E39,"оба")</f>
        <v/>
      </c>
      <c r="C41" s="81">
        <f>B41/35*100</f>
        <v/>
      </c>
      <c r="D41" s="82" t="inlineStr">
        <is>
          <t>из 35 приростов, %</t>
        </is>
      </c>
      <c r="E41" s="65" t="n"/>
    </row>
    <row r="43" ht="58" customHeight="1">
      <c r="A43" s="26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  <row r="44">
      <c r="A44" s="1" t="inlineStr">
        <is>
          <t>Триггеры на движение по всем двенадцати метрикам</t>
        </is>
      </c>
    </row>
    <row r="45" ht="46" customHeight="1">
      <c r="A45" s="2" t="inlineStr">
        <is>
          <t>Порог берётся из собственной строки метрики на листе «Метрики»: T1 — колонка K (буфер на месяц), T2 — колонка J (буфер на цикл). У метрик на M(T) порог параметрический, у CoR — эмпирический, то есть триггер меняется вместе с методом разметки. Калибровки на исходах нет и быть не может: превышений лимита в ряде одно.</t>
        </is>
      </c>
    </row>
    <row r="46" ht="34" customHeight="1">
      <c r="A46" s="8" t="inlineStr">
        <is>
          <t>Метрика</t>
        </is>
      </c>
      <c r="B46" s="8" t="inlineStr">
        <is>
          <t>Порог T1 (мес.)</t>
        </is>
      </c>
      <c r="C46" s="8" t="inlineStr">
        <is>
          <t>Сработок T1</t>
        </is>
      </c>
      <c r="D46" s="8" t="inlineStr">
        <is>
          <t>Порог T2 (3 мес.)</t>
        </is>
      </c>
      <c r="E46" s="8" t="inlineStr">
        <is>
          <t>Сработок T2</t>
        </is>
      </c>
      <c r="F46" s="8" t="inlineStr">
        <is>
          <t>T1, % месяцев</t>
        </is>
      </c>
      <c r="G46" s="8" t="inlineStr">
        <is>
          <t>Макс. Δ за месяц</t>
        </is>
      </c>
      <c r="H46" s="8" t="inlineStr">
        <is>
          <t>Макс. Δ за 3 мес</t>
        </is>
      </c>
    </row>
    <row r="47" ht="24" customHeight="1">
      <c r="A47" s="4" t="inlineStr">
        <is>
          <t>Топ-20 / СК</t>
        </is>
      </c>
      <c r="B47" s="12">
        <f>'Метрики'!K5</f>
        <v/>
      </c>
      <c r="C47" s="83">
        <f>COUNTIF('Ряд'!J6:J40,"&gt;="&amp;B47)</f>
        <v/>
      </c>
      <c r="D47" s="12">
        <f>'Метрики'!J5</f>
        <v/>
      </c>
      <c r="E47" s="83">
        <f>COUNTIF('Ряд'!AF9:AF40,"&gt;="&amp;D47)</f>
        <v/>
      </c>
      <c r="F47" s="84">
        <f>C47/COUNT('Ряд'!J6:J40)*100</f>
        <v/>
      </c>
      <c r="G47" s="12">
        <f>MAX('Ряд'!J6:J40)</f>
        <v/>
      </c>
      <c r="H47" s="12">
        <f>MAX('Ряд'!AF9:AF40)</f>
        <v/>
      </c>
    </row>
    <row r="48" ht="24" customHeight="1">
      <c r="A48" s="4" t="inlineStr">
        <is>
          <t>CoR КБ/ПБ</t>
        </is>
      </c>
      <c r="B48" s="12">
        <f>'Метрики'!K6</f>
        <v/>
      </c>
      <c r="C48" s="83">
        <f>COUNTIF('Ряд'!P6:P40,"&gt;="&amp;B48)</f>
        <v/>
      </c>
      <c r="D48" s="12">
        <f>'Метрики'!J6</f>
        <v/>
      </c>
      <c r="E48" s="83">
        <f>COUNTIF('Ряд'!W9:W40,"&gt;="&amp;D48)</f>
        <v/>
      </c>
      <c r="F48" s="84">
        <f>C48/COUNT('Ряд'!P6:P40)*100</f>
        <v/>
      </c>
      <c r="G48" s="12">
        <f>MAX('Ряд'!P6:P40)</f>
        <v/>
      </c>
      <c r="H48" s="12">
        <f>MAX('Ряд'!W9:W40)</f>
        <v/>
      </c>
    </row>
    <row r="49" ht="24" customHeight="1">
      <c r="A49" s="4" t="inlineStr">
        <is>
          <t>CoR МСБ</t>
        </is>
      </c>
      <c r="B49" s="12">
        <f>'Метрики'!K8</f>
        <v/>
      </c>
      <c r="C49" s="83">
        <f>COUNTIF('Ряд'!S6:S40,"&gt;="&amp;B49)</f>
        <v/>
      </c>
      <c r="D49" s="12">
        <f>'Метрики'!J8</f>
        <v/>
      </c>
      <c r="E49" s="83">
        <f>COUNTIF('Ряд'!AC9:AC40,"&gt;="&amp;D49)</f>
        <v/>
      </c>
      <c r="F49" s="84">
        <f>C49/COUNT('Ряд'!S6:S40)*100</f>
        <v/>
      </c>
      <c r="G49" s="12">
        <f>MAX('Ряд'!S6:S40)</f>
        <v/>
      </c>
      <c r="H49" s="12">
        <f>MAX('Ряд'!AC9:AC40)</f>
        <v/>
      </c>
    </row>
    <row r="50" ht="24" customHeight="1">
      <c r="A50" s="4" t="inlineStr">
        <is>
          <t>EL — всего</t>
        </is>
      </c>
      <c r="B50" s="12">
        <f>'Метрики'!K10</f>
        <v/>
      </c>
      <c r="C50" s="83">
        <f>COUNTIF('Метрики — ряд'!AO5:BW5,"&gt;="&amp;B50)</f>
        <v/>
      </c>
      <c r="D50" s="12">
        <f>'Метрики'!J10</f>
        <v/>
      </c>
      <c r="E50" s="83">
        <f>COUNTIF('Метрики — ряд'!BY5:DD5,"&gt;="&amp;D50)</f>
        <v/>
      </c>
      <c r="F50" s="84">
        <f>C50/COUNT('Метрики — ряд'!AO5:BW5)*100</f>
        <v/>
      </c>
      <c r="G50" s="12">
        <f>MAX('Метрики — ряд'!AO5:BW5)</f>
        <v/>
      </c>
      <c r="H50" s="12">
        <f>MAX('Метрики — ряд'!BY5:DD5)</f>
        <v/>
      </c>
    </row>
    <row r="51" ht="24" customHeight="1">
      <c r="A51" s="4" t="inlineStr">
        <is>
          <t>EL — необеспеченные</t>
        </is>
      </c>
      <c r="B51" s="12">
        <f>'Метрики'!K11</f>
        <v/>
      </c>
      <c r="C51" s="83">
        <f>COUNTIF('Метрики — ряд'!AO6:BW6,"&gt;="&amp;B51)</f>
        <v/>
      </c>
      <c r="D51" s="12">
        <f>'Метрики'!J11</f>
        <v/>
      </c>
      <c r="E51" s="83">
        <f>COUNTIF('Метрики — ряд'!BY6:DD6,"&gt;="&amp;D51)</f>
        <v/>
      </c>
      <c r="F51" s="84">
        <f>C51/COUNT('Метрики — ряд'!AO6:BW6)*100</f>
        <v/>
      </c>
      <c r="G51" s="12">
        <f>MAX('Метрики — ряд'!AO6:BW6)</f>
        <v/>
      </c>
      <c r="H51" s="12">
        <f>MAX('Метрики — ряд'!BY6:DD6)</f>
        <v/>
      </c>
    </row>
    <row r="52" ht="24" customHeight="1">
      <c r="A52" s="4" t="inlineStr">
        <is>
          <t>EL — обеспеченные</t>
        </is>
      </c>
      <c r="B52" s="12">
        <f>'Метрики'!K12</f>
        <v/>
      </c>
      <c r="C52" s="83">
        <f>COUNTIF('Метрики — ряд'!AO7:BW7,"&gt;="&amp;B52)</f>
        <v/>
      </c>
      <c r="D52" s="12">
        <f>'Метрики'!J12</f>
        <v/>
      </c>
      <c r="E52" s="83">
        <f>COUNTIF('Метрики — ряд'!BY7:DD7,"&gt;="&amp;D52)</f>
        <v/>
      </c>
      <c r="F52" s="84">
        <f>C52/COUNT('Метрики — ряд'!AO7:BW7)*100</f>
        <v/>
      </c>
      <c r="G52" s="12">
        <f>MAX('Метрики — ряд'!AO7:BW7)</f>
        <v/>
      </c>
      <c r="H52" s="12">
        <f>MAX('Метрики — ряд'!BY7:DD7)</f>
        <v/>
      </c>
    </row>
    <row r="53" ht="24" customHeight="1">
      <c r="A53" s="4" t="inlineStr">
        <is>
          <t>EL — прочие</t>
        </is>
      </c>
      <c r="B53" s="12">
        <f>'Метрики'!K13</f>
        <v/>
      </c>
      <c r="C53" s="83">
        <f>COUNTIF('Метрики — ряд'!AO8:BW8,"&gt;="&amp;B53)</f>
        <v/>
      </c>
      <c r="D53" s="12">
        <f>'Метрики'!J13</f>
        <v/>
      </c>
      <c r="E53" s="83">
        <f>COUNTIF('Метрики — ряд'!BY8:DD8,"&gt;="&amp;D53)</f>
        <v/>
      </c>
      <c r="F53" s="84">
        <f>C53/COUNT('Метрики — ряд'!AO8:BW8)*100</f>
        <v/>
      </c>
      <c r="G53" s="12">
        <f>MAX('Метрики — ряд'!AO8:BW8)</f>
        <v/>
      </c>
      <c r="H53" s="12">
        <f>MAX('Метрики — ряд'!BY8:DD8)</f>
        <v/>
      </c>
    </row>
    <row r="54" ht="24" customHeight="1">
      <c r="A54" s="4" t="inlineStr">
        <is>
          <t>PD — необеспеченные</t>
        </is>
      </c>
      <c r="B54" s="12">
        <f>'Метрики'!K14</f>
        <v/>
      </c>
      <c r="C54" s="83">
        <f>COUNTIF('Метрики — ряд'!AO9:BW9,"&gt;="&amp;B54)</f>
        <v/>
      </c>
      <c r="D54" s="12">
        <f>'Метрики'!J14</f>
        <v/>
      </c>
      <c r="E54" s="83">
        <f>COUNTIF('Метрики — ряд'!BY9:DD9,"&gt;="&amp;D54)</f>
        <v/>
      </c>
      <c r="F54" s="84">
        <f>C54/COUNT('Метрики — ряд'!AO9:BW9)*100</f>
        <v/>
      </c>
      <c r="G54" s="12">
        <f>MAX('Метрики — ряд'!AO9:BW9)</f>
        <v/>
      </c>
      <c r="H54" s="12">
        <f>MAX('Метрики — ряд'!BY9:DD9)</f>
        <v/>
      </c>
    </row>
    <row r="55" ht="24" customHeight="1">
      <c r="A55" s="4" t="inlineStr">
        <is>
          <t>PD — необеспеченные, наличные</t>
        </is>
      </c>
      <c r="B55" s="12">
        <f>'Метрики'!K15</f>
        <v/>
      </c>
      <c r="C55" s="83">
        <f>COUNTIF('Метрики — ряд'!AO10:BW10,"&gt;="&amp;B55)</f>
        <v/>
      </c>
      <c r="D55" s="12">
        <f>'Метрики'!J15</f>
        <v/>
      </c>
      <c r="E55" s="83">
        <f>COUNTIF('Метрики — ряд'!BY10:DD10,"&gt;="&amp;D55)</f>
        <v/>
      </c>
      <c r="F55" s="84">
        <f>C55/COUNT('Метрики — ряд'!AO10:BW10)*100</f>
        <v/>
      </c>
      <c r="G55" s="12">
        <f>MAX('Метрики — ряд'!AO10:BW10)</f>
        <v/>
      </c>
      <c r="H55" s="12">
        <f>MAX('Метрики — ряд'!BY10:DD10)</f>
        <v/>
      </c>
    </row>
    <row r="56" ht="24" customHeight="1">
      <c r="A56" s="4" t="inlineStr">
        <is>
          <t>PD — необеспеченные, товарные</t>
        </is>
      </c>
      <c r="B56" s="12">
        <f>'Метрики'!K16</f>
        <v/>
      </c>
      <c r="C56" s="83">
        <f>COUNTIF('Метрики — ряд'!AO11:BW11,"&gt;="&amp;B56)</f>
        <v/>
      </c>
      <c r="D56" s="12">
        <f>'Метрики'!J16</f>
        <v/>
      </c>
      <c r="E56" s="83">
        <f>COUNTIF('Метрики — ряд'!BY11:DD11,"&gt;="&amp;D56)</f>
        <v/>
      </c>
      <c r="F56" s="84">
        <f>C56/COUNT('Метрики — ряд'!AO11:BW11)*100</f>
        <v/>
      </c>
      <c r="G56" s="12">
        <f>MAX('Метрики — ряд'!AO11:BW11)</f>
        <v/>
      </c>
      <c r="H56" s="12">
        <f>MAX('Метрики — ряд'!BY11:DD11)</f>
        <v/>
      </c>
    </row>
    <row r="57" ht="24" customHeight="1">
      <c r="A57" s="4" t="inlineStr">
        <is>
          <t>PD — обеспеченные</t>
        </is>
      </c>
      <c r="B57" s="12">
        <f>'Метрики'!K17</f>
        <v/>
      </c>
      <c r="C57" s="83">
        <f>COUNTIF('Метрики — ряд'!AO12:BW12,"&gt;="&amp;B57)</f>
        <v/>
      </c>
      <c r="D57" s="12">
        <f>'Метрики'!J17</f>
        <v/>
      </c>
      <c r="E57" s="83">
        <f>COUNTIF('Метрики — ряд'!BY12:DD12,"&gt;="&amp;D57)</f>
        <v/>
      </c>
      <c r="F57" s="84">
        <f>C57/COUNT('Метрики — ряд'!AO12:BW12)*100</f>
        <v/>
      </c>
      <c r="G57" s="12">
        <f>MAX('Метрики — ряд'!AO12:BW12)</f>
        <v/>
      </c>
      <c r="H57" s="12">
        <f>MAX('Метрики — ряд'!BY12:DD12)</f>
        <v/>
      </c>
    </row>
    <row r="58" ht="24" customHeight="1">
      <c r="A58" s="4" t="inlineStr">
        <is>
          <t>PD — прочие</t>
        </is>
      </c>
      <c r="B58" s="12">
        <f>'Метрики'!K18</f>
        <v/>
      </c>
      <c r="C58" s="83">
        <f>COUNTIF('Метрики — ряд'!AO13:BW13,"&gt;="&amp;B58)</f>
        <v/>
      </c>
      <c r="D58" s="12">
        <f>'Метрики'!J18</f>
        <v/>
      </c>
      <c r="E58" s="83">
        <f>COUNTIF('Метрики — ряд'!BY13:DD13,"&gt;="&amp;D58)</f>
        <v/>
      </c>
      <c r="F58" s="84">
        <f>C58/COUNT('Метрики — ряд'!AO13:BW13)*100</f>
        <v/>
      </c>
      <c r="G58" s="12">
        <f>MAX('Метрики — ряд'!AO13:BW13)</f>
        <v/>
      </c>
      <c r="H58" s="12">
        <f>MAX('Метрики — ряд'!BY13:DD13)</f>
        <v/>
      </c>
    </row>
    <row r="60" ht="44" customHeight="1">
      <c r="A60" s="3" t="inlineStr">
        <is>
          <t>Триггер и зона ловят разное, и ни один не заменяет другой</t>
        </is>
      </c>
      <c r="B60" s="4" t="inlineStr">
        <is>
          <t>Зона смотрит на УРОВЕНЬ метрики, триггер — на её ДВИЖЕНИЕ. Формула буфера описывает диффузию, триггер ловит скачок. Январский вход топ-20 в красную зону сделан капиталом, и уровневая зона не предупреждала о нём в принципе — ровно поэтому триггеры и заводятся.</t>
        </is>
      </c>
      <c r="C60" s="6" t="n"/>
      <c r="D60" s="6" t="n"/>
      <c r="E60" s="6" t="n"/>
      <c r="F60" s="6" t="n"/>
      <c r="G60" s="6" t="n"/>
      <c r="H60" s="7" t="n"/>
    </row>
    <row r="61" ht="44" customHeight="1">
      <c r="A61" s="3" t="inlineStr">
        <is>
          <t>Порог не новое число, а тот же буфер</t>
        </is>
      </c>
      <c r="B61" s="4" t="inlineStr">
        <is>
          <t>T1 равен буферу на месяц, T2 — буферу на цикл реагирования. Это сознательно: вводить отдельно калиброванный порог было бы нечем обосновать. Побочное следствие полезное: у CoR порог эмпирический, потому что эмпирична сама разметка, — триггер наследует метод автоматически.</t>
        </is>
      </c>
      <c r="C61" s="6" t="n"/>
      <c r="D61" s="6" t="n"/>
      <c r="E61" s="6" t="n"/>
      <c r="F61" s="6" t="n"/>
      <c r="G61" s="6" t="n"/>
      <c r="H61" s="7" t="n"/>
    </row>
    <row r="62" ht="44" customHeight="1">
      <c r="A62" s="3" t="inlineStr">
        <is>
          <t>Чего эти числа НЕ означают</t>
        </is>
      </c>
      <c r="B62" s="4" t="inlineStr">
        <is>
          <t>Столбцы «сработок» — это частота, а не доля верных сигналов. Калибровка на исходах невозможна: превышение лимита в ряде одно (топ-20, 05.2026), у остальных одиннадцати метрик их ноль. Пять эпизодов 2016–2017 были при уровне 250 %, а не 95, и к сегодняшнему порогу неприменимы.</t>
        </is>
      </c>
      <c r="C62" s="6" t="n"/>
      <c r="D62" s="6" t="n"/>
      <c r="E62" s="6" t="n"/>
      <c r="F62" s="6" t="n"/>
      <c r="G62" s="6" t="n"/>
      <c r="H62" s="7" t="n"/>
    </row>
  </sheetData>
  <mergeCells count="6">
    <mergeCell ref="A43:E43"/>
    <mergeCell ref="A2:E2"/>
    <mergeCell ref="B62:H62"/>
    <mergeCell ref="A45:H45"/>
    <mergeCell ref="B60:H60"/>
    <mergeCell ref="B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2026-09-15T10:19:52Z</dcterms:created>
  <dcterms:modified xmlns:dcterms="http://purl.org/dc/terms/" xmlns:xsi="http://www.w3.org/2001/XMLSchema-instance" xsi:type="dcterms:W3CDTF">2026-09-15T10:19:53Z</dcterms:modified>
</cp:coreProperties>
</file>