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 — ряд" sheetId="9" state="visible" r:id="rId9"/>
    <sheet xmlns:r="http://schemas.openxmlformats.org/officeDocument/2006/relationships" name="Метрики" sheetId="10" state="visible" r:id="rId10"/>
  </sheets>
  <definedNames>
    <definedName name="v">'Ряд'!$H$5:$H$40</definedName>
    <definedName name="d">'Ряд'!$J$6:$J$40</definedName>
    <definedName name="cor_kb">'Ряд'!$O$5:$O$40</definedName>
    <definedName name="d_cor_kb">'Ряд'!$P$6:$P$40</definedName>
    <definedName name="cor_ms">'Ряд'!$R$5:$R$40</definedName>
    <definedName name="d_cor_ms">'Ряд'!$S$6:$S$40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1" fontId="4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</cols>
  <sheetData>
    <row r="1">
      <c r="A1" s="1" t="inlineStr">
        <is>
          <t>Ряд топ-20: 36 месячных точек, 01.08.2023 — 01.07.2026</t>
        </is>
      </c>
    </row>
    <row r="2" ht="5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 Колонки N–S — CoR по КБ/ПБ и по МСБ из того же файла, 36 из 36: в первой сборке листа «Метрики» они были ошибочно взяты из квартального ряда.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  <c r="N4" s="5" t="inlineStr">
        <is>
          <t>cor_kb_pb (доля)</t>
        </is>
      </c>
      <c r="O4" s="5" t="inlineStr">
        <is>
          <t>CoR КБ/ПБ, %</t>
        </is>
      </c>
      <c r="P4" s="5" t="inlineStr">
        <is>
          <t>Δ CoR КБ/ПБ</t>
        </is>
      </c>
      <c r="Q4" s="5" t="inlineStr">
        <is>
          <t>cor_msb (доля)</t>
        </is>
      </c>
      <c r="R4" s="5" t="inlineStr">
        <is>
          <t>CoR МСБ, %</t>
        </is>
      </c>
      <c r="S4" s="5" t="inlineStr">
        <is>
          <t>Δ CoR МСБ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8" t="n">
        <v>0.02271529921</v>
      </c>
      <c r="O5" s="9">
        <f>N5*100</f>
        <v/>
      </c>
      <c r="P5" s="10" t="inlineStr">
        <is>
          <t>—</t>
        </is>
      </c>
      <c r="Q5" s="8" t="n">
        <v>-0.0001482371103</v>
      </c>
      <c r="R5" s="9">
        <f>Q5*100</f>
        <v/>
      </c>
      <c r="S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  <c r="N6" s="8" t="n">
        <v>0.01849831153</v>
      </c>
      <c r="O6" s="9">
        <f>N6*100</f>
        <v/>
      </c>
      <c r="P6" s="9">
        <f>O6-O5</f>
        <v/>
      </c>
      <c r="Q6" s="8" t="n">
        <v>-0.00579114117</v>
      </c>
      <c r="R6" s="9">
        <f>Q6*100</f>
        <v/>
      </c>
      <c r="S6" s="9">
        <f>R6-R5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  <c r="N7" s="8" t="n">
        <v>0.01147588798</v>
      </c>
      <c r="O7" s="9">
        <f>N7*100</f>
        <v/>
      </c>
      <c r="P7" s="9">
        <f>O7-O6</f>
        <v/>
      </c>
      <c r="Q7" s="8" t="n">
        <v>-0.007801331225</v>
      </c>
      <c r="R7" s="9">
        <f>Q7*100</f>
        <v/>
      </c>
      <c r="S7" s="9">
        <f>R7-R6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  <c r="N8" s="8" t="n">
        <v>0.002161916772</v>
      </c>
      <c r="O8" s="9">
        <f>N8*100</f>
        <v/>
      </c>
      <c r="P8" s="9">
        <f>O8-O7</f>
        <v/>
      </c>
      <c r="Q8" s="8" t="n">
        <v>-0.01204133968</v>
      </c>
      <c r="R8" s="9">
        <f>Q8*100</f>
        <v/>
      </c>
      <c r="S8" s="9">
        <f>R8-R7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  <c r="N9" s="8" t="n">
        <v>-0.0007643165415</v>
      </c>
      <c r="O9" s="9">
        <f>N9*100</f>
        <v/>
      </c>
      <c r="P9" s="9">
        <f>O9-O8</f>
        <v/>
      </c>
      <c r="Q9" s="8" t="n">
        <v>-0.01072642329</v>
      </c>
      <c r="R9" s="9">
        <f>Q9*100</f>
        <v/>
      </c>
      <c r="S9" s="9">
        <f>R9-R8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  <c r="N10" s="8" t="n">
        <v>-0.01934343416</v>
      </c>
      <c r="O10" s="9">
        <f>N10*100</f>
        <v/>
      </c>
      <c r="P10" s="9">
        <f>O10-O9</f>
        <v/>
      </c>
      <c r="Q10" s="8" t="n">
        <v>-0.01082676031</v>
      </c>
      <c r="R10" s="9">
        <f>Q10*100</f>
        <v/>
      </c>
      <c r="S10" s="9">
        <f>R10-R9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  <c r="N11" s="8" t="n">
        <v>-0.07640116130000001</v>
      </c>
      <c r="O11" s="9">
        <f>N11*100</f>
        <v/>
      </c>
      <c r="P11" s="9">
        <f>O11-O10</f>
        <v/>
      </c>
      <c r="Q11" s="8" t="n">
        <v>-0.02131495621</v>
      </c>
      <c r="R11" s="9">
        <f>Q11*100</f>
        <v/>
      </c>
      <c r="S11" s="9">
        <f>R11-R10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  <c r="N12" s="8" t="n">
        <v>-0.04723198444</v>
      </c>
      <c r="O12" s="9">
        <f>N12*100</f>
        <v/>
      </c>
      <c r="P12" s="9">
        <f>O12-O11</f>
        <v/>
      </c>
      <c r="Q12" s="8" t="n">
        <v>-0.005127557633</v>
      </c>
      <c r="R12" s="9">
        <f>Q12*100</f>
        <v/>
      </c>
      <c r="S12" s="9">
        <f>R12-R11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  <c r="N13" s="8" t="n">
        <v>-0.03942940539</v>
      </c>
      <c r="O13" s="9">
        <f>N13*100</f>
        <v/>
      </c>
      <c r="P13" s="9">
        <f>O13-O12</f>
        <v/>
      </c>
      <c r="Q13" s="8" t="n">
        <v>-0.01074181497</v>
      </c>
      <c r="R13" s="9">
        <f>Q13*100</f>
        <v/>
      </c>
      <c r="S13" s="9">
        <f>R13-R12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  <c r="N14" s="8" t="n">
        <v>-0.03338889616</v>
      </c>
      <c r="O14" s="9">
        <f>N14*100</f>
        <v/>
      </c>
      <c r="P14" s="9">
        <f>O14-O13</f>
        <v/>
      </c>
      <c r="Q14" s="8" t="n">
        <v>-0.007195272051</v>
      </c>
      <c r="R14" s="9">
        <f>Q14*100</f>
        <v/>
      </c>
      <c r="S14" s="9">
        <f>R14-R13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  <c r="N15" s="8" t="n">
        <v>-0.02467543678</v>
      </c>
      <c r="O15" s="9">
        <f>N15*100</f>
        <v/>
      </c>
      <c r="P15" s="9">
        <f>O15-O14</f>
        <v/>
      </c>
      <c r="Q15" s="8" t="n">
        <v>-0.006528664751</v>
      </c>
      <c r="R15" s="9">
        <f>Q15*100</f>
        <v/>
      </c>
      <c r="S15" s="9">
        <f>R15-R14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  <c r="N16" s="8" t="n">
        <v>-0.02244619422</v>
      </c>
      <c r="O16" s="9">
        <f>N16*100</f>
        <v/>
      </c>
      <c r="P16" s="9">
        <f>O16-O15</f>
        <v/>
      </c>
      <c r="Q16" s="8" t="n">
        <v>-0.003885496881</v>
      </c>
      <c r="R16" s="9">
        <f>Q16*100</f>
        <v/>
      </c>
      <c r="S16" s="9">
        <f>R16-R15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  <c r="N17" s="8" t="n">
        <v>-0.02150985885</v>
      </c>
      <c r="O17" s="9">
        <f>N17*100</f>
        <v/>
      </c>
      <c r="P17" s="9">
        <f>O17-O16</f>
        <v/>
      </c>
      <c r="Q17" s="8" t="n">
        <v>-0.004445886419</v>
      </c>
      <c r="R17" s="9">
        <f>Q17*100</f>
        <v/>
      </c>
      <c r="S17" s="9">
        <f>R17-R16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  <c r="N18" s="8" t="n">
        <v>-0.02154768059</v>
      </c>
      <c r="O18" s="9">
        <f>N18*100</f>
        <v/>
      </c>
      <c r="P18" s="9">
        <f>O18-O17</f>
        <v/>
      </c>
      <c r="Q18" s="8" t="n">
        <v>-0.003033472516</v>
      </c>
      <c r="R18" s="9">
        <f>Q18*100</f>
        <v/>
      </c>
      <c r="S18" s="9">
        <f>R18-R17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  <c r="N19" s="8" t="n">
        <v>-0.01964265338</v>
      </c>
      <c r="O19" s="9">
        <f>N19*100</f>
        <v/>
      </c>
      <c r="P19" s="9">
        <f>O19-O18</f>
        <v/>
      </c>
      <c r="Q19" s="8" t="n">
        <v>-0.003726465017</v>
      </c>
      <c r="R19" s="9">
        <f>Q19*100</f>
        <v/>
      </c>
      <c r="S19" s="9">
        <f>R19-R18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  <c r="N20" s="8" t="n">
        <v>-0.01965703002</v>
      </c>
      <c r="O20" s="9">
        <f>N20*100</f>
        <v/>
      </c>
      <c r="P20" s="9">
        <f>O20-O19</f>
        <v/>
      </c>
      <c r="Q20" s="8" t="n">
        <v>-0.008698807542</v>
      </c>
      <c r="R20" s="9">
        <f>Q20*100</f>
        <v/>
      </c>
      <c r="S20" s="9">
        <f>R20-R19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  <c r="N21" s="8" t="n">
        <v>-0.0150945606</v>
      </c>
      <c r="O21" s="9">
        <f>N21*100</f>
        <v/>
      </c>
      <c r="P21" s="9">
        <f>O21-O20</f>
        <v/>
      </c>
      <c r="Q21" s="8" t="n">
        <v>-0.005250378502</v>
      </c>
      <c r="R21" s="9">
        <f>Q21*100</f>
        <v/>
      </c>
      <c r="S21" s="9">
        <f>R21-R20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  <c r="N22" s="8" t="n">
        <v>-0.01772711736</v>
      </c>
      <c r="O22" s="9">
        <f>N22*100</f>
        <v/>
      </c>
      <c r="P22" s="9">
        <f>O22-O21</f>
        <v/>
      </c>
      <c r="Q22" s="8" t="n">
        <v>-0.006975086918</v>
      </c>
      <c r="R22" s="9">
        <f>Q22*100</f>
        <v/>
      </c>
      <c r="S22" s="9">
        <f>R22-R21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  <c r="N23" s="8" t="n">
        <v>-0.004185664846</v>
      </c>
      <c r="O23" s="9">
        <f>N23*100</f>
        <v/>
      </c>
      <c r="P23" s="9">
        <f>O23-O22</f>
        <v/>
      </c>
      <c r="Q23" s="8" t="n">
        <v>-0.009348784968</v>
      </c>
      <c r="R23" s="9">
        <f>Q23*100</f>
        <v/>
      </c>
      <c r="S23" s="9">
        <f>R23-R22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  <c r="N24" s="8" t="n">
        <v>-0.006042909793</v>
      </c>
      <c r="O24" s="9">
        <f>N24*100</f>
        <v/>
      </c>
      <c r="P24" s="9">
        <f>O24-O23</f>
        <v/>
      </c>
      <c r="Q24" s="8" t="n">
        <v>-0.03407189028</v>
      </c>
      <c r="R24" s="9">
        <f>Q24*100</f>
        <v/>
      </c>
      <c r="S24" s="9">
        <f>R24-R23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  <c r="N25" s="8" t="n">
        <v>0.001173028566</v>
      </c>
      <c r="O25" s="9">
        <f>N25*100</f>
        <v/>
      </c>
      <c r="P25" s="9">
        <f>O25-O24</f>
        <v/>
      </c>
      <c r="Q25" s="8" t="n">
        <v>-0.02567947784</v>
      </c>
      <c r="R25" s="9">
        <f>Q25*100</f>
        <v/>
      </c>
      <c r="S25" s="9">
        <f>R25-R24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  <c r="N26" s="8" t="n">
        <v>0.0007036193667</v>
      </c>
      <c r="O26" s="9">
        <f>N26*100</f>
        <v/>
      </c>
      <c r="P26" s="9">
        <f>O26-O25</f>
        <v/>
      </c>
      <c r="Q26" s="8" t="n">
        <v>-0.02621518324</v>
      </c>
      <c r="R26" s="9">
        <f>Q26*100</f>
        <v/>
      </c>
      <c r="S26" s="9">
        <f>R26-R25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  <c r="N27" s="8" t="n">
        <v>-0.01045247433</v>
      </c>
      <c r="O27" s="9">
        <f>N27*100</f>
        <v/>
      </c>
      <c r="P27" s="9">
        <f>O27-O26</f>
        <v/>
      </c>
      <c r="Q27" s="8" t="n">
        <v>-0.02516064017</v>
      </c>
      <c r="R27" s="9">
        <f>Q27*100</f>
        <v/>
      </c>
      <c r="S27" s="9">
        <f>R27-R26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  <c r="N28" s="8" t="n">
        <v>-0.01284831366</v>
      </c>
      <c r="O28" s="9">
        <f>N28*100</f>
        <v/>
      </c>
      <c r="P28" s="9">
        <f>O28-O27</f>
        <v/>
      </c>
      <c r="Q28" s="8" t="n">
        <v>-0.02063257704</v>
      </c>
      <c r="R28" s="9">
        <f>Q28*100</f>
        <v/>
      </c>
      <c r="S28" s="9">
        <f>R28-R27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  <c r="N29" s="8" t="n">
        <v>-0.01076612716</v>
      </c>
      <c r="O29" s="9">
        <f>N29*100</f>
        <v/>
      </c>
      <c r="P29" s="9">
        <f>O29-O28</f>
        <v/>
      </c>
      <c r="Q29" s="8" t="n">
        <v>-0.01824222316</v>
      </c>
      <c r="R29" s="9">
        <f>Q29*100</f>
        <v/>
      </c>
      <c r="S29" s="9">
        <f>R29-R28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  <c r="N30" s="8" t="n">
        <v>-0.01019961477</v>
      </c>
      <c r="O30" s="9">
        <f>N30*100</f>
        <v/>
      </c>
      <c r="P30" s="9">
        <f>O30-O29</f>
        <v/>
      </c>
      <c r="Q30" s="8" t="n">
        <v>-0.01787913537</v>
      </c>
      <c r="R30" s="9">
        <f>Q30*100</f>
        <v/>
      </c>
      <c r="S30" s="9">
        <f>R30-R29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  <c r="N31" s="8" t="n">
        <v>-0.009223722526999999</v>
      </c>
      <c r="O31" s="9">
        <f>N31*100</f>
        <v/>
      </c>
      <c r="P31" s="9">
        <f>O31-O30</f>
        <v/>
      </c>
      <c r="Q31" s="8" t="n">
        <v>-0.01507613398</v>
      </c>
      <c r="R31" s="9">
        <f>Q31*100</f>
        <v/>
      </c>
      <c r="S31" s="9">
        <f>R31-R30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  <c r="N32" s="8" t="n">
        <v>-0.009368964495</v>
      </c>
      <c r="O32" s="9">
        <f>N32*100</f>
        <v/>
      </c>
      <c r="P32" s="9">
        <f>O32-O31</f>
        <v/>
      </c>
      <c r="Q32" s="8" t="n">
        <v>-0.01040587626</v>
      </c>
      <c r="R32" s="9">
        <f>Q32*100</f>
        <v/>
      </c>
      <c r="S32" s="9">
        <f>R32-R31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  <c r="N33" s="8" t="n">
        <v>-0.009146300087999999</v>
      </c>
      <c r="O33" s="9">
        <f>N33*100</f>
        <v/>
      </c>
      <c r="P33" s="9">
        <f>O33-O32</f>
        <v/>
      </c>
      <c r="Q33" s="8" t="n">
        <v>-0.008341282269</v>
      </c>
      <c r="R33" s="9">
        <f>Q33*100</f>
        <v/>
      </c>
      <c r="S33" s="9">
        <f>R33-R32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  <c r="N34" s="8" t="n">
        <v>-0.01000642628</v>
      </c>
      <c r="O34" s="9">
        <f>N34*100</f>
        <v/>
      </c>
      <c r="P34" s="9">
        <f>O34-O33</f>
        <v/>
      </c>
      <c r="Q34" s="8" t="n">
        <v>-0.009844635963</v>
      </c>
      <c r="R34" s="9">
        <f>Q34*100</f>
        <v/>
      </c>
      <c r="S34" s="9">
        <f>R34-R33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  <c r="N35" s="8" t="n">
        <v>0.006211628852</v>
      </c>
      <c r="O35" s="9">
        <f>N35*100</f>
        <v/>
      </c>
      <c r="P35" s="9">
        <f>O35-O34</f>
        <v/>
      </c>
      <c r="Q35" s="8" t="n">
        <v>0.004731440595</v>
      </c>
      <c r="R35" s="9">
        <f>Q35*100</f>
        <v/>
      </c>
      <c r="S35" s="9">
        <f>R35-R34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  <c r="N36" s="8" t="n">
        <v>0.001174774637</v>
      </c>
      <c r="O36" s="9">
        <f>N36*100</f>
        <v/>
      </c>
      <c r="P36" s="9">
        <f>O36-O35</f>
        <v/>
      </c>
      <c r="Q36" s="8" t="n">
        <v>0.002976355917</v>
      </c>
      <c r="R36" s="9">
        <f>Q36*100</f>
        <v/>
      </c>
      <c r="S36" s="9">
        <f>R36-R35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  <c r="N37" s="8" t="n">
        <v>-0.003483003224</v>
      </c>
      <c r="O37" s="9">
        <f>N37*100</f>
        <v/>
      </c>
      <c r="P37" s="9">
        <f>O37-O36</f>
        <v/>
      </c>
      <c r="Q37" s="8" t="n">
        <v>0.001964413579</v>
      </c>
      <c r="R37" s="9">
        <f>Q37*100</f>
        <v/>
      </c>
      <c r="S37" s="9">
        <f>R37-R36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  <c r="N38" s="8" t="n">
        <v>-0.003399834341</v>
      </c>
      <c r="O38" s="9">
        <f>N38*100</f>
        <v/>
      </c>
      <c r="P38" s="9">
        <f>O38-O37</f>
        <v/>
      </c>
      <c r="Q38" s="8" t="n">
        <v>0.001914285625</v>
      </c>
      <c r="R38" s="9">
        <f>Q38*100</f>
        <v/>
      </c>
      <c r="S38" s="9">
        <f>R38-R37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  <c r="N39" s="8" t="n">
        <v>0.003774368159</v>
      </c>
      <c r="O39" s="9">
        <f>N39*100</f>
        <v/>
      </c>
      <c r="P39" s="9">
        <f>O39-O38</f>
        <v/>
      </c>
      <c r="Q39" s="8" t="n">
        <v>0.00337118251</v>
      </c>
      <c r="R39" s="9">
        <f>Q39*100</f>
        <v/>
      </c>
      <c r="S39" s="9">
        <f>R39-R38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  <c r="N40" s="8" t="n">
        <v>-0.002673517612</v>
      </c>
      <c r="O40" s="9">
        <f>N40*100</f>
        <v/>
      </c>
      <c r="P40" s="9">
        <f>O40-O39</f>
        <v/>
      </c>
      <c r="Q40" s="8" t="n">
        <v>0.002666590121</v>
      </c>
      <c r="R40" s="9">
        <f>Q40*100</f>
        <v/>
      </c>
      <c r="S40" s="9">
        <f>R40-R39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</sheetData>
  <mergeCells count="2">
    <mergeCell ref="A42:S42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границы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</sheetData>
  <mergeCells count="6">
    <mergeCell ref="A29:E29"/>
    <mergeCell ref="A2:E2"/>
    <mergeCell ref="A41:E41"/>
    <mergeCell ref="A19:E19"/>
    <mergeCell ref="A37:E37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5" t="inlineStr">
        <is>
          <t>Зона</t>
        </is>
      </c>
      <c r="B4" s="5" t="inlineStr">
        <is>
          <t>Определение по п. 18 Правил № 86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Формула границы</t>
        </is>
      </c>
      <c r="F4" s="5" t="inlineStr">
        <is>
          <t>Набл.</t>
        </is>
      </c>
      <c r="G4" s="5" t="inlineStr">
        <is>
          <t>Доля, %</t>
        </is>
      </c>
    </row>
    <row r="5" ht="56" customHeight="1">
      <c r="A5" s="27" t="inlineStr">
        <is>
          <t>Зелёная</t>
        </is>
      </c>
      <c r="B5" s="28" t="inlineStr">
        <is>
          <t>уровень, не требующий применения корректирующих мер</t>
        </is>
      </c>
      <c r="C5" s="29" t="inlineStr">
        <is>
          <t>—</t>
        </is>
      </c>
      <c r="D5" s="29">
        <f>'Расчёт'!D29</f>
        <v/>
      </c>
      <c r="E5" s="30" t="inlineStr">
        <is>
          <t>— … L − M(4)</t>
        </is>
      </c>
      <c r="F5" s="31">
        <f>COUNTIF(v,"&lt;"&amp;'Расчёт'!D29)</f>
        <v/>
      </c>
      <c r="G5" s="32">
        <f>F5/COUNT(v)*100</f>
        <v/>
      </c>
    </row>
    <row r="6" ht="56" customHeight="1">
      <c r="A6" s="33" t="inlineStr">
        <is>
          <t>Жёлтая</t>
        </is>
      </c>
      <c r="B6" s="34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35">
        <f>'Расчёт'!D29</f>
        <v/>
      </c>
      <c r="D6" s="35">
        <f>'Расчёт'!D17</f>
        <v/>
      </c>
      <c r="E6" s="36" t="inlineStr">
        <is>
          <t>L − M(4) … L − M(1)</t>
        </is>
      </c>
      <c r="F6" s="37">
        <f>COUNTIFS(v,"&gt;="&amp;'Расчёт'!D29,v,"&lt;"&amp;'Расчёт'!D17)</f>
        <v/>
      </c>
      <c r="G6" s="38">
        <f>F6/COUNT(v)*100</f>
        <v/>
      </c>
    </row>
    <row r="7" ht="56" customHeight="1">
      <c r="A7" s="39" t="inlineStr">
        <is>
          <t>Красная</t>
        </is>
      </c>
      <c r="B7" s="40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41">
        <f>'Расчёт'!D17</f>
        <v/>
      </c>
      <c r="D7" s="41">
        <f>'Расчёт'!D12</f>
        <v/>
      </c>
      <c r="E7" s="42" t="inlineStr">
        <is>
          <t>L − M(1) … L</t>
        </is>
      </c>
      <c r="F7" s="43">
        <f>COUNTIFS(v,"&gt;="&amp;'Расчёт'!D17,v,"&lt;"&amp;'Расчёт'!D12)</f>
        <v/>
      </c>
      <c r="G7" s="44">
        <f>F7/COUNT(v)*100</f>
        <v/>
      </c>
    </row>
    <row r="8" ht="56" customHeight="1">
      <c r="A8" s="45" t="inlineStr">
        <is>
          <t>Нарушение лимита</t>
        </is>
      </c>
      <c r="B8" s="46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47">
        <f>'Расчёт'!D12</f>
        <v/>
      </c>
      <c r="D8" s="47" t="inlineStr">
        <is>
          <t>—</t>
        </is>
      </c>
      <c r="E8" s="48" t="inlineStr">
        <is>
          <t>L … —</t>
        </is>
      </c>
      <c r="F8" s="49">
        <f>COUNTIF(v,"&gt;="&amp;'Расчёт'!D12)</f>
        <v/>
      </c>
      <c r="G8" s="50">
        <f>F8/COUNT(v)*100</f>
        <v/>
      </c>
    </row>
    <row r="9">
      <c r="A9" s="51" t="inlineStr">
        <is>
          <t>Всего</t>
        </is>
      </c>
      <c r="B9" s="52" t="n"/>
      <c r="C9" s="52" t="n"/>
      <c r="D9" s="52" t="n"/>
      <c r="E9" s="52" t="n"/>
      <c r="F9" s="53">
        <f>SUM(F5:F8)</f>
        <v/>
      </c>
      <c r="G9" s="54">
        <f>F9/COUNT(v)*100</f>
        <v/>
      </c>
    </row>
    <row r="11">
      <c r="A11" s="22" t="inlineStr">
        <is>
          <t>Где мы сейчас, 01.07.2026</t>
        </is>
      </c>
      <c r="B11" s="23" t="n"/>
      <c r="C11" s="23" t="n"/>
      <c r="D11" s="23" t="n"/>
      <c r="E11" s="23" t="n"/>
      <c r="F11" s="23" t="n"/>
      <c r="G11" s="23" t="n"/>
    </row>
    <row r="12">
      <c r="A12" s="6" t="inlineStr">
        <is>
          <t>Текущее значение метрики</t>
        </is>
      </c>
      <c r="B12" s="24">
        <f>'Расчёт'!D8</f>
        <v/>
      </c>
      <c r="C12" s="16" t="inlineStr">
        <is>
          <t>доля топ-20 в собственном капитале, балансовая база</t>
        </is>
      </c>
      <c r="D12" s="55" t="n"/>
      <c r="E12" s="55" t="n"/>
      <c r="F12" s="55" t="n"/>
      <c r="G12" s="56" t="n"/>
    </row>
    <row r="13">
      <c r="A13" s="6" t="inlineStr">
        <is>
          <t>Граница зелёная / жёлтая</t>
        </is>
      </c>
      <c r="B13" s="24">
        <f>'Расчёт'!D29</f>
        <v/>
      </c>
      <c r="C13" s="16" t="inlineStr">
        <is>
          <t>L − M(4)</t>
        </is>
      </c>
      <c r="D13" s="55" t="n"/>
      <c r="E13" s="55" t="n"/>
      <c r="F13" s="55" t="n"/>
      <c r="G13" s="56" t="n"/>
    </row>
    <row r="14">
      <c r="A14" s="6" t="inlineStr">
        <is>
          <t>Граница жёлтая / красная</t>
        </is>
      </c>
      <c r="B14" s="24">
        <f>'Расчёт'!D17</f>
        <v/>
      </c>
      <c r="C14" s="16" t="inlineStr">
        <is>
          <t>L − M(1)</t>
        </is>
      </c>
      <c r="D14" s="55" t="n"/>
      <c r="E14" s="55" t="n"/>
      <c r="F14" s="55" t="n"/>
      <c r="G14" s="56" t="n"/>
    </row>
    <row r="15">
      <c r="A15" s="6" t="inlineStr">
        <is>
          <t>Лимит</t>
        </is>
      </c>
      <c r="B15" s="24">
        <f>'Расчёт'!D12</f>
        <v/>
      </c>
      <c r="C15" s="16" t="inlineStr">
        <is>
          <t>95 % в регуляторной базе ÷ k</t>
        </is>
      </c>
      <c r="D15" s="55" t="n"/>
      <c r="E15" s="55" t="n"/>
      <c r="F15" s="55" t="n"/>
      <c r="G15" s="56" t="n"/>
    </row>
    <row r="16">
      <c r="A16" s="6" t="inlineStr">
        <is>
          <t>До красной, пп</t>
        </is>
      </c>
      <c r="B16" s="24">
        <f>'Расчёт'!D17-'Расчёт'!D8</f>
        <v/>
      </c>
      <c r="C16" s="16" t="inlineStr">
        <is>
          <t>меньше половины одного месячного σ</t>
        </is>
      </c>
      <c r="D16" s="55" t="n"/>
      <c r="E16" s="55" t="n"/>
      <c r="F16" s="55" t="n"/>
      <c r="G16" s="56" t="n"/>
    </row>
    <row r="17">
      <c r="A17" s="6" t="inlineStr">
        <is>
          <t>До лимита, пп</t>
        </is>
      </c>
      <c r="B17" s="24">
        <f>'Расчёт'!D12-'Расчёт'!D8</f>
        <v/>
      </c>
      <c r="C17" s="16" t="inlineStr"/>
      <c r="D17" s="55" t="n"/>
      <c r="E17" s="55" t="n"/>
      <c r="F17" s="55" t="n"/>
      <c r="G17" s="56" t="n"/>
    </row>
    <row r="18">
      <c r="A18" s="6" t="inlineStr">
        <is>
          <t>T* — месяцев до лимита</t>
        </is>
      </c>
      <c r="B18" s="24">
        <f>'Расчёт'!D45</f>
        <v/>
      </c>
      <c r="C18" s="16" t="inlineStr">
        <is>
          <t>((L − v) / (z·σ))²</t>
        </is>
      </c>
      <c r="D18" s="55" t="n"/>
      <c r="E18" s="55" t="n"/>
      <c r="F18" s="55" t="n"/>
      <c r="G18" s="56" t="n"/>
    </row>
    <row r="19">
      <c r="A19" s="6" t="inlineStr">
        <is>
          <t>Зона текущей точки</t>
        </is>
      </c>
      <c r="B19" s="57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16" t="inlineStr">
        <is>
          <t>Жёлтая означает: уровень допустим, но требует отдельных корректирующих мер в действующих процедурах.</t>
        </is>
      </c>
      <c r="D19" s="55" t="n"/>
      <c r="E19" s="55" t="n"/>
      <c r="F19" s="55" t="n"/>
      <c r="G19" s="56" t="n"/>
    </row>
    <row r="21">
      <c r="A21" s="22" t="inlineStr">
        <is>
          <t>Сколько стоит смена зоны, млн ₸</t>
        </is>
      </c>
      <c r="B21" s="23" t="n"/>
      <c r="C21" s="23" t="n"/>
      <c r="D21" s="23" t="n"/>
      <c r="E21" s="23" t="n"/>
      <c r="F21" s="23" t="n"/>
      <c r="G21" s="23" t="n"/>
    </row>
    <row r="22">
      <c r="A22" s="13" t="inlineStr">
        <is>
          <t>Что сделать</t>
        </is>
      </c>
      <c r="B22" s="13" t="inlineStr">
        <is>
          <t>Через задолженность топ-20</t>
        </is>
      </c>
      <c r="C22" s="13" t="inlineStr">
        <is>
          <t>Через собственный капитал</t>
        </is>
      </c>
      <c r="D22" s="13" t="inlineStr">
        <is>
          <t>Комментарий</t>
        </is>
      </c>
      <c r="E22" s="55" t="n"/>
      <c r="F22" s="55" t="n"/>
      <c r="G22" s="56" t="n"/>
    </row>
    <row r="23">
      <c r="A23" s="6" t="inlineStr">
        <is>
          <t>Вернуться в зелёную</t>
        </is>
      </c>
      <c r="B23" s="58">
        <f>'Расчёт'!D29/100*Ряд!D40-Ряд!B40</f>
        <v/>
      </c>
      <c r="C23" s="58">
        <f>Ряд!B40/('Расчёт'!D29/100)-Ряд!D40</f>
        <v/>
      </c>
      <c r="D23" s="16" t="inlineStr">
        <is>
          <t>самая дорогая из трёх: 3,3 пп ниже текущей точки</t>
        </is>
      </c>
      <c r="E23" s="55" t="n"/>
      <c r="F23" s="55" t="n"/>
      <c r="G23" s="56" t="n"/>
    </row>
    <row r="24">
      <c r="A24" s="6" t="inlineStr">
        <is>
          <t>Не войти в красную</t>
        </is>
      </c>
      <c r="B24" s="58">
        <f>'Расчёт'!D17/100*Ряд!D40-Ряд!B40</f>
        <v/>
      </c>
      <c r="C24" s="58">
        <f>Ряд!B40/('Расчёт'!D17/100)-Ряд!D40</f>
        <v/>
      </c>
      <c r="D24" s="16" t="inlineStr">
        <is>
          <t>запас, который есть сейчас; один средний месяц по σ больше него вдвое</t>
        </is>
      </c>
      <c r="E24" s="55" t="n"/>
      <c r="F24" s="55" t="n"/>
      <c r="G24" s="56" t="n"/>
    </row>
    <row r="25">
      <c r="A25" s="6" t="inlineStr">
        <is>
          <t>Не нарушить лимит</t>
        </is>
      </c>
      <c r="B25" s="58">
        <f>'Расчёт'!D12/100*Ряд!D40-Ряд!B40</f>
        <v/>
      </c>
      <c r="C25" s="58">
        <f>Ряд!B40/('Расчёт'!D12/100)-Ряд!D40</f>
        <v/>
      </c>
      <c r="D25" s="16" t="inlineStr">
        <is>
          <t>формальный запас до обязательства</t>
        </is>
      </c>
      <c r="E25" s="55" t="n"/>
      <c r="F25" s="55" t="n"/>
      <c r="G25" s="56" t="n"/>
    </row>
    <row r="26" ht="44" customHeight="1">
      <c r="A26" s="21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2" t="inlineStr">
        <is>
          <t>Вероятность достичь границы за T месяцев</t>
        </is>
      </c>
      <c r="B28" s="23" t="n"/>
      <c r="C28" s="23" t="n"/>
      <c r="D28" s="23" t="n"/>
      <c r="E28" s="23" t="n"/>
      <c r="F28" s="23" t="n"/>
      <c r="G28" s="23" t="n"/>
    </row>
    <row r="29">
      <c r="A29" s="13" t="inlineStr">
        <is>
          <t>Граница</t>
        </is>
      </c>
      <c r="B29" s="13" t="inlineStr">
        <is>
          <t>1 месяц</t>
        </is>
      </c>
      <c r="C29" s="13" t="inlineStr">
        <is>
          <t>2 месяца</t>
        </is>
      </c>
      <c r="D29" s="13" t="inlineStr">
        <is>
          <t>3 месяца</t>
        </is>
      </c>
      <c r="E29" s="13" t="inlineStr">
        <is>
          <t>6 месяцев</t>
        </is>
      </c>
      <c r="F29" s="13" t="inlineStr">
        <is>
          <t>Разрыв, пп</t>
        </is>
      </c>
    </row>
    <row r="30">
      <c r="A30" s="6" t="inlineStr">
        <is>
          <t>Войти в красную зону</t>
        </is>
      </c>
      <c r="B30" s="20">
        <f>(1-NORMSDIST(('Расчёт'!D17-'Расчёт'!D8)/('Расчёт'!D6*SQRT(1))))*100</f>
        <v/>
      </c>
      <c r="C30" s="20">
        <f>(1-NORMSDIST(('Расчёт'!D17-'Расчёт'!D8)/('Расчёт'!D6*SQRT(2))))*100</f>
        <v/>
      </c>
      <c r="D30" s="20">
        <f>(1-NORMSDIST(('Расчёт'!D17-'Расчёт'!D8)/('Расчёт'!D6*SQRT(3))))*100</f>
        <v/>
      </c>
      <c r="E30" s="20">
        <f>(1-NORMSDIST(('Расчёт'!D17-'Расчёт'!D8)/('Расчёт'!D6*SQRT(6))))*100</f>
        <v/>
      </c>
      <c r="F30" s="9">
        <f>'Расчёт'!D17-'Расчёт'!D8</f>
        <v/>
      </c>
    </row>
    <row r="31">
      <c r="A31" s="6" t="inlineStr">
        <is>
          <t>Нарушить лимит</t>
        </is>
      </c>
      <c r="B31" s="20">
        <f>(1-NORMSDIST(('Расчёт'!D12-'Расчёт'!D8)/('Расчёт'!D6*SQRT(1))))*100</f>
        <v/>
      </c>
      <c r="C31" s="20">
        <f>(1-NORMSDIST(('Расчёт'!D12-'Расчёт'!D8)/('Расчёт'!D6*SQRT(2))))*100</f>
        <v/>
      </c>
      <c r="D31" s="20">
        <f>(1-NORMSDIST(('Расчёт'!D12-'Расчёт'!D8)/('Расчёт'!D6*SQRT(3))))*100</f>
        <v/>
      </c>
      <c r="E31" s="20">
        <f>(1-NORMSDIST(('Расчёт'!D12-'Расчёт'!D8)/('Расчёт'!D6*SQRT(6))))*100</f>
        <v/>
      </c>
      <c r="F31" s="9">
        <f>'Расчёт'!D12-'Расчёт'!D8</f>
        <v/>
      </c>
    </row>
    <row r="32" ht="40" customHeight="1">
      <c r="A32" s="21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2" t="inlineStr">
        <is>
          <t>План действий по зонам — предложение, требующее решений</t>
        </is>
      </c>
      <c r="B34" s="23" t="n"/>
      <c r="C34" s="23" t="n"/>
      <c r="D34" s="23" t="n"/>
      <c r="E34" s="23" t="n"/>
      <c r="F34" s="23" t="n"/>
      <c r="G34" s="23" t="n"/>
    </row>
    <row r="35" ht="30" customHeight="1">
      <c r="A35" s="5" t="inlineStr">
        <is>
          <t>Зона</t>
        </is>
      </c>
      <c r="B35" s="5" t="inlineStr">
        <is>
          <t>Наблюдение</t>
        </is>
      </c>
      <c r="C35" s="5" t="inlineStr">
        <is>
          <t>Уведомление</t>
        </is>
      </c>
      <c r="D35" s="5" t="inlineStr">
        <is>
          <t>Меры</t>
        </is>
      </c>
      <c r="E35" s="5" t="inlineStr">
        <is>
          <t>Что документируется</t>
        </is>
      </c>
      <c r="F35" s="5" t="inlineStr">
        <is>
          <t>Вопрос, который надо закрыть</t>
        </is>
      </c>
      <c r="G35" s="56" t="n"/>
    </row>
    <row r="36" ht="92" customHeight="1">
      <c r="A36" s="27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16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56" t="n"/>
    </row>
    <row r="37" ht="92" customHeight="1">
      <c r="A37" s="33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16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56" t="n"/>
    </row>
    <row r="38" ht="92" customHeight="1">
      <c r="A38" s="39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16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56" t="n"/>
    </row>
    <row r="39" ht="92" customHeight="1">
      <c r="A39" s="45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16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56" t="n"/>
    </row>
    <row r="41" ht="48" customHeight="1">
      <c r="A41" s="21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1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</sheetData>
  <mergeCells count="22">
    <mergeCell ref="A32:G32"/>
    <mergeCell ref="D25:G25"/>
    <mergeCell ref="C15:G15"/>
    <mergeCell ref="D24:G24"/>
    <mergeCell ref="C14:G14"/>
    <mergeCell ref="D23:G23"/>
    <mergeCell ref="C16:G16"/>
    <mergeCell ref="F36:G36"/>
    <mergeCell ref="F35:G35"/>
    <mergeCell ref="D22:G22"/>
    <mergeCell ref="C12:G12"/>
    <mergeCell ref="F38:G38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9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0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9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0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51" t="inlineStr">
        <is>
          <t>Сработало</t>
        </is>
      </c>
      <c r="B41" s="53">
        <f>COUNTIF(E5:E39,"Займ")+COUNTIF(E5:E39,"СК")+COUNTIF(E5:E39,"оба")</f>
        <v/>
      </c>
      <c r="C41" s="61">
        <f>B41/35*100</f>
        <v/>
      </c>
      <c r="D41" s="62" t="inlineStr">
        <is>
          <t>из 35 приростов, %</t>
        </is>
      </c>
      <c r="E41" s="52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Квартальный ряд кредитных метрик риск-аппетита</t>
        </is>
      </c>
    </row>
    <row r="2" ht="46" customHeight="1">
      <c r="A2" s="2" t="inlineStr">
        <is>
          <t>Источник: форма № 50 Приложения № 2 к Инструкции по формированию управленческой и финансовой отчётности, лист «Выводы» (форма 50-5), отчётная дата 01.07.2026. Строка топ-20 из той же формы сюда НЕ перенесена: она склеивает две базы капитала (скачок 75,6 → 92,7 на Q1 2026 есть смена знаменателя, а не движение риска), и σ по ней завышена вдвое. Топ-20 берётся из месячного ряда листа «Ряд».</t>
        </is>
      </c>
    </row>
    <row r="4" ht="30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Q2 2024</t>
        </is>
      </c>
      <c r="E4" s="5" t="inlineStr">
        <is>
          <t>Q3 2024</t>
        </is>
      </c>
      <c r="F4" s="5" t="inlineStr">
        <is>
          <t>Q4 2024</t>
        </is>
      </c>
      <c r="G4" s="5" t="inlineStr">
        <is>
          <t>Q1 2025</t>
        </is>
      </c>
      <c r="H4" s="5" t="inlineStr">
        <is>
          <t>Q2 2025</t>
        </is>
      </c>
      <c r="I4" s="5" t="inlineStr">
        <is>
          <t>Q3 2025</t>
        </is>
      </c>
      <c r="J4" s="5" t="inlineStr">
        <is>
          <t>Q4 2025</t>
        </is>
      </c>
      <c r="K4" s="5" t="inlineStr">
        <is>
          <t>Q1 2026</t>
        </is>
      </c>
      <c r="L4" s="5" t="inlineStr">
        <is>
          <t>Q2 2026</t>
        </is>
      </c>
      <c r="M4" s="5" t="inlineStr">
        <is>
          <t xml:space="preserve"> </t>
        </is>
      </c>
      <c r="N4" s="5" t="inlineStr">
        <is>
          <t>Δ1</t>
        </is>
      </c>
      <c r="O4" s="5" t="inlineStr">
        <is>
          <t>Δ2</t>
        </is>
      </c>
      <c r="P4" s="5" t="inlineStr">
        <is>
          <t>Δ3</t>
        </is>
      </c>
      <c r="Q4" s="5" t="inlineStr">
        <is>
          <t>Δ4</t>
        </is>
      </c>
      <c r="R4" s="5" t="inlineStr">
        <is>
          <t>Δ5</t>
        </is>
      </c>
      <c r="S4" s="5" t="inlineStr">
        <is>
          <t>Δ6</t>
        </is>
      </c>
      <c r="T4" s="5" t="inlineStr">
        <is>
          <t>Δ7</t>
        </is>
      </c>
      <c r="U4" s="5" t="inlineStr">
        <is>
          <t>Δ8</t>
        </is>
      </c>
    </row>
    <row r="5">
      <c r="A5" s="4" t="inlineStr">
        <is>
          <t>EL — ожидаемые потери, всего</t>
        </is>
      </c>
      <c r="B5" s="12" t="inlineStr">
        <is>
          <t>RB</t>
        </is>
      </c>
      <c r="C5" s="11" t="n">
        <v>9</v>
      </c>
      <c r="D5" s="9" t="n">
        <v>3.8605</v>
      </c>
      <c r="E5" s="9" t="n">
        <v>3.509</v>
      </c>
      <c r="F5" s="9" t="n">
        <v>3.0237</v>
      </c>
      <c r="G5" s="9" t="n">
        <v>2.8963</v>
      </c>
      <c r="H5" s="9" t="n">
        <v>2.8158</v>
      </c>
      <c r="I5" s="9" t="n">
        <v>2.6901</v>
      </c>
      <c r="J5" s="9" t="n">
        <v>2.615</v>
      </c>
      <c r="K5" s="9" t="n">
        <v>2.713</v>
      </c>
      <c r="L5" s="9" t="n">
        <v>2.7576</v>
      </c>
      <c r="N5" s="9">
        <f>E5-D5</f>
        <v/>
      </c>
      <c r="O5" s="9">
        <f>F5-E5</f>
        <v/>
      </c>
      <c r="P5" s="9">
        <f>G5-F5</f>
        <v/>
      </c>
      <c r="Q5" s="9">
        <f>H5-G5</f>
        <v/>
      </c>
      <c r="R5" s="9">
        <f>I5-H5</f>
        <v/>
      </c>
      <c r="S5" s="9">
        <f>J5-I5</f>
        <v/>
      </c>
      <c r="T5" s="9">
        <f>K5-J5</f>
        <v/>
      </c>
      <c r="U5" s="9">
        <f>L5-K5</f>
        <v/>
      </c>
    </row>
    <row r="6">
      <c r="A6" s="4" t="inlineStr">
        <is>
          <t>EL — необеспеченные</t>
        </is>
      </c>
      <c r="B6" s="12" t="inlineStr">
        <is>
          <t>RB</t>
        </is>
      </c>
      <c r="C6" s="11" t="n">
        <v>10</v>
      </c>
      <c r="D6" s="9" t="n">
        <v>7.909</v>
      </c>
      <c r="E6" s="9" t="n">
        <v>7.4644</v>
      </c>
      <c r="F6" s="9" t="n">
        <v>7.2344</v>
      </c>
      <c r="G6" s="9" t="n">
        <v>7.096</v>
      </c>
      <c r="H6" s="9" t="n">
        <v>7.0608</v>
      </c>
      <c r="I6" s="9" t="n">
        <v>7.0637</v>
      </c>
      <c r="J6" s="9" t="n">
        <v>7.0313</v>
      </c>
      <c r="K6" s="9" t="n">
        <v>7.0114</v>
      </c>
      <c r="L6" s="9" t="n">
        <v>7.5666</v>
      </c>
      <c r="N6" s="9">
        <f>E6-D6</f>
        <v/>
      </c>
      <c r="O6" s="9">
        <f>F6-E6</f>
        <v/>
      </c>
      <c r="P6" s="9">
        <f>G6-F6</f>
        <v/>
      </c>
      <c r="Q6" s="9">
        <f>H6-G6</f>
        <v/>
      </c>
      <c r="R6" s="9">
        <f>I6-H6</f>
        <v/>
      </c>
      <c r="S6" s="9">
        <f>J6-I6</f>
        <v/>
      </c>
      <c r="T6" s="9">
        <f>K6-J6</f>
        <v/>
      </c>
      <c r="U6" s="9">
        <f>L6-K6</f>
        <v/>
      </c>
    </row>
    <row r="7">
      <c r="A7" s="4" t="inlineStr">
        <is>
          <t>EL — обеспеченные</t>
        </is>
      </c>
      <c r="B7" s="12" t="inlineStr">
        <is>
          <t>RB</t>
        </is>
      </c>
      <c r="C7" s="11" t="n">
        <v>7</v>
      </c>
      <c r="D7" s="9" t="n">
        <v>1.5675</v>
      </c>
      <c r="E7" s="9" t="n">
        <v>1.4088</v>
      </c>
      <c r="F7" s="9" t="n">
        <v>1.3441</v>
      </c>
      <c r="G7" s="9" t="n">
        <v>1.3643</v>
      </c>
      <c r="H7" s="9" t="n">
        <v>1.3772</v>
      </c>
      <c r="I7" s="9" t="n">
        <v>1.3608</v>
      </c>
      <c r="J7" s="9" t="n">
        <v>1.4275</v>
      </c>
      <c r="K7" s="9" t="n">
        <v>1.5899</v>
      </c>
      <c r="L7" s="9" t="n">
        <v>1.636</v>
      </c>
      <c r="N7" s="9">
        <f>E7-D7</f>
        <v/>
      </c>
      <c r="O7" s="9">
        <f>F7-E7</f>
        <v/>
      </c>
      <c r="P7" s="9">
        <f>G7-F7</f>
        <v/>
      </c>
      <c r="Q7" s="9">
        <f>H7-G7</f>
        <v/>
      </c>
      <c r="R7" s="9">
        <f>I7-H7</f>
        <v/>
      </c>
      <c r="S7" s="9">
        <f>J7-I7</f>
        <v/>
      </c>
      <c r="T7" s="9">
        <f>K7-J7</f>
        <v/>
      </c>
      <c r="U7" s="9">
        <f>L7-K7</f>
        <v/>
      </c>
    </row>
    <row r="8">
      <c r="A8" s="4" t="inlineStr">
        <is>
          <t>EL — прочие</t>
        </is>
      </c>
      <c r="B8" s="12" t="inlineStr">
        <is>
          <t>RB</t>
        </is>
      </c>
      <c r="C8" s="11" t="n">
        <v>10</v>
      </c>
      <c r="D8" s="9" t="n">
        <v>3.2386</v>
      </c>
      <c r="E8" s="9" t="n">
        <v>2.8286</v>
      </c>
      <c r="F8" s="9" t="n">
        <v>2.6999</v>
      </c>
      <c r="G8" s="9" t="n">
        <v>2.6177</v>
      </c>
      <c r="H8" s="9" t="n">
        <v>2.5108</v>
      </c>
      <c r="I8" s="9" t="n">
        <v>2.5475</v>
      </c>
      <c r="J8" s="9" t="n">
        <v>2.4556</v>
      </c>
      <c r="K8" s="9" t="n">
        <v>2.2893</v>
      </c>
      <c r="L8" s="9" t="n">
        <v>2.4718</v>
      </c>
      <c r="N8" s="9">
        <f>E8-D8</f>
        <v/>
      </c>
      <c r="O8" s="9">
        <f>F8-E8</f>
        <v/>
      </c>
      <c r="P8" s="9">
        <f>G8-F8</f>
        <v/>
      </c>
      <c r="Q8" s="9">
        <f>H8-G8</f>
        <v/>
      </c>
      <c r="R8" s="9">
        <f>I8-H8</f>
        <v/>
      </c>
      <c r="S8" s="9">
        <f>J8-I8</f>
        <v/>
      </c>
      <c r="T8" s="9">
        <f>K8-J8</f>
        <v/>
      </c>
      <c r="U8" s="9">
        <f>L8-K8</f>
        <v/>
      </c>
    </row>
    <row r="9">
      <c r="A9" s="4" t="inlineStr">
        <is>
          <t>PD — необеспеченные</t>
        </is>
      </c>
      <c r="B9" s="12" t="inlineStr">
        <is>
          <t>RB</t>
        </is>
      </c>
      <c r="C9" s="11" t="n">
        <v>15</v>
      </c>
      <c r="D9" s="9" t="n">
        <v>12.1297</v>
      </c>
      <c r="E9" s="9" t="n">
        <v>12.0149</v>
      </c>
      <c r="F9" s="9" t="n">
        <v>11.7854</v>
      </c>
      <c r="G9" s="9" t="n">
        <v>11.5538</v>
      </c>
      <c r="H9" s="9" t="n">
        <v>11.4859</v>
      </c>
      <c r="I9" s="9" t="n">
        <v>11.4913</v>
      </c>
      <c r="J9" s="9" t="n">
        <v>11.2275</v>
      </c>
      <c r="K9" s="9" t="n">
        <v>11.0418</v>
      </c>
      <c r="L9" s="9" t="n">
        <v>10.9612</v>
      </c>
      <c r="N9" s="9">
        <f>E9-D9</f>
        <v/>
      </c>
      <c r="O9" s="9">
        <f>F9-E9</f>
        <v/>
      </c>
      <c r="P9" s="9">
        <f>G9-F9</f>
        <v/>
      </c>
      <c r="Q9" s="9">
        <f>H9-G9</f>
        <v/>
      </c>
      <c r="R9" s="9">
        <f>I9-H9</f>
        <v/>
      </c>
      <c r="S9" s="9">
        <f>J9-I9</f>
        <v/>
      </c>
      <c r="T9" s="9">
        <f>K9-J9</f>
        <v/>
      </c>
      <c r="U9" s="9">
        <f>L9-K9</f>
        <v/>
      </c>
    </row>
    <row r="10">
      <c r="A10" s="4" t="inlineStr">
        <is>
          <t>PD — необеспеченные, наличные</t>
        </is>
      </c>
      <c r="B10" s="12" t="inlineStr">
        <is>
          <t>RB</t>
        </is>
      </c>
      <c r="C10" s="11" t="n">
        <v>15</v>
      </c>
      <c r="D10" s="9" t="n">
        <v>12.273</v>
      </c>
      <c r="E10" s="9" t="n">
        <v>12.1698</v>
      </c>
      <c r="F10" s="9" t="n">
        <v>11.962</v>
      </c>
      <c r="G10" s="9" t="n">
        <v>11.7089</v>
      </c>
      <c r="H10" s="9" t="n">
        <v>11.6787</v>
      </c>
      <c r="I10" s="9" t="n">
        <v>11.717</v>
      </c>
      <c r="J10" s="9" t="n">
        <v>11.3418</v>
      </c>
      <c r="K10" s="9" t="n">
        <v>11.1281</v>
      </c>
      <c r="L10" s="9" t="n">
        <v>11.0461</v>
      </c>
      <c r="N10" s="9">
        <f>E10-D10</f>
        <v/>
      </c>
      <c r="O10" s="9">
        <f>F10-E10</f>
        <v/>
      </c>
      <c r="P10" s="9">
        <f>G10-F10</f>
        <v/>
      </c>
      <c r="Q10" s="9">
        <f>H10-G10</f>
        <v/>
      </c>
      <c r="R10" s="9">
        <f>I10-H10</f>
        <v/>
      </c>
      <c r="S10" s="9">
        <f>J10-I10</f>
        <v/>
      </c>
      <c r="T10" s="9">
        <f>K10-J10</f>
        <v/>
      </c>
      <c r="U10" s="9">
        <f>L10-K10</f>
        <v/>
      </c>
    </row>
    <row r="11">
      <c r="A11" s="4" t="inlineStr">
        <is>
          <t>PD — необеспеченные, товарные</t>
        </is>
      </c>
      <c r="B11" s="12" t="inlineStr">
        <is>
          <t>RB</t>
        </is>
      </c>
      <c r="C11" s="11" t="n">
        <v>15</v>
      </c>
      <c r="D11" s="9" t="n">
        <v>11.5958</v>
      </c>
      <c r="E11" s="9" t="n">
        <v>11.4065</v>
      </c>
      <c r="F11" s="9" t="n">
        <v>11.0036</v>
      </c>
      <c r="G11" s="9" t="n">
        <v>10.8888</v>
      </c>
      <c r="H11" s="9" t="n">
        <v>10.5721</v>
      </c>
      <c r="I11" s="9" t="n">
        <v>10.3809</v>
      </c>
      <c r="J11" s="9" t="n">
        <v>10.601</v>
      </c>
      <c r="K11" s="9" t="n">
        <v>10.6296</v>
      </c>
      <c r="L11" s="9" t="n">
        <v>10.5865</v>
      </c>
      <c r="N11" s="9">
        <f>E11-D11</f>
        <v/>
      </c>
      <c r="O11" s="9">
        <f>F11-E11</f>
        <v/>
      </c>
      <c r="P11" s="9">
        <f>G11-F11</f>
        <v/>
      </c>
      <c r="Q11" s="9">
        <f>H11-G11</f>
        <v/>
      </c>
      <c r="R11" s="9">
        <f>I11-H11</f>
        <v/>
      </c>
      <c r="S11" s="9">
        <f>J11-I11</f>
        <v/>
      </c>
      <c r="T11" s="9">
        <f>K11-J11</f>
        <v/>
      </c>
      <c r="U11" s="9">
        <f>L11-K11</f>
        <v/>
      </c>
    </row>
    <row r="12">
      <c r="A12" s="4" t="inlineStr">
        <is>
          <t>PD — обеспеченные</t>
        </is>
      </c>
      <c r="B12" s="12" t="inlineStr">
        <is>
          <t>RB</t>
        </is>
      </c>
      <c r="C12" s="11" t="n">
        <v>7</v>
      </c>
      <c r="D12" s="9" t="n">
        <v>5.3105</v>
      </c>
      <c r="E12" s="9" t="n">
        <v>5.2189</v>
      </c>
      <c r="F12" s="9" t="n">
        <v>5.0309</v>
      </c>
      <c r="G12" s="9" t="n">
        <v>5.0827</v>
      </c>
      <c r="H12" s="9" t="n">
        <v>5.1339</v>
      </c>
      <c r="I12" s="9" t="n">
        <v>5.1477</v>
      </c>
      <c r="J12" s="9" t="n">
        <v>5.0871</v>
      </c>
      <c r="K12" s="9" t="n">
        <v>5.0976</v>
      </c>
      <c r="L12" s="9" t="n">
        <v>5.015</v>
      </c>
      <c r="N12" s="9">
        <f>E12-D12</f>
        <v/>
      </c>
      <c r="O12" s="9">
        <f>F12-E12</f>
        <v/>
      </c>
      <c r="P12" s="9">
        <f>G12-F12</f>
        <v/>
      </c>
      <c r="Q12" s="9">
        <f>H12-G12</f>
        <v/>
      </c>
      <c r="R12" s="9">
        <f>I12-H12</f>
        <v/>
      </c>
      <c r="S12" s="9">
        <f>J12-I12</f>
        <v/>
      </c>
      <c r="T12" s="9">
        <f>K12-J12</f>
        <v/>
      </c>
      <c r="U12" s="9">
        <f>L12-K12</f>
        <v/>
      </c>
    </row>
    <row r="13">
      <c r="A13" s="4" t="inlineStr">
        <is>
          <t>PD — прочие</t>
        </is>
      </c>
      <c r="B13" s="12" t="inlineStr">
        <is>
          <t>RB</t>
        </is>
      </c>
      <c r="C13" s="11" t="n">
        <v>14</v>
      </c>
      <c r="D13" s="9" t="n">
        <v>4.8964</v>
      </c>
      <c r="E13" s="9" t="n">
        <v>4.5923</v>
      </c>
      <c r="F13" s="9" t="n">
        <v>4.4563</v>
      </c>
      <c r="G13" s="9" t="n">
        <v>4.3212</v>
      </c>
      <c r="H13" s="9" t="n">
        <v>4.1906</v>
      </c>
      <c r="I13" s="9" t="n">
        <v>4.2695</v>
      </c>
      <c r="J13" s="9" t="n">
        <v>4.0896</v>
      </c>
      <c r="K13" s="9" t="n">
        <v>3.7785</v>
      </c>
      <c r="L13" s="9" t="n">
        <v>3.655</v>
      </c>
      <c r="N13" s="9">
        <f>E13-D13</f>
        <v/>
      </c>
      <c r="O13" s="9">
        <f>F13-E13</f>
        <v/>
      </c>
      <c r="P13" s="9">
        <f>G13-F13</f>
        <v/>
      </c>
      <c r="Q13" s="9">
        <f>H13-G13</f>
        <v/>
      </c>
      <c r="R13" s="9">
        <f>I13-H13</f>
        <v/>
      </c>
      <c r="S13" s="9">
        <f>J13-I13</f>
        <v/>
      </c>
      <c r="T13" s="9">
        <f>K13-J13</f>
        <v/>
      </c>
      <c r="U13" s="9">
        <f>L13-K13</f>
        <v/>
      </c>
    </row>
  </sheetData>
  <mergeCells count="1"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7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3" customWidth="1" min="11" max="11"/>
    <col width="14" customWidth="1" min="12" max="12"/>
    <col width="10" customWidth="1" min="13" max="13"/>
    <col width="11" customWidth="1" min="14" max="14"/>
    <col width="9" customWidth="1" min="15" max="15"/>
    <col width="9" customWidth="1" min="16" max="16"/>
  </cols>
  <sheetData>
    <row r="1">
      <c r="A1" s="1" t="inlineStr">
        <is>
          <t>Зоны по остальным кредитным метрикам</t>
        </is>
      </c>
    </row>
    <row r="2" ht="36" customHeight="1">
      <c r="A2" s="2" t="inlineStr">
        <is>
          <t>Границы те же, что на листе «Зоны»: зелёная до L − M(4), жёлтая до L − M(1), красная до лимита. Колонки «% лимита» — та же граница, выраженная как X = 1 − M(T)/L. Ряд и приросты — на листе «Метрики — ряд».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Точек</t>
        </is>
      </c>
      <c r="E4" s="5" t="inlineStr">
        <is>
          <t>Шаг, мес</t>
        </is>
      </c>
      <c r="F4" s="5" t="inlineStr">
        <is>
          <t>σ_Δ</t>
        </is>
      </c>
      <c r="G4" s="5" t="inlineStr">
        <is>
          <t>M(4 мес)</t>
        </is>
      </c>
      <c r="H4" s="5" t="inlineStr">
        <is>
          <t>M(1 мес)</t>
        </is>
      </c>
      <c r="I4" s="5" t="inlineStr">
        <is>
          <t>Зел./жёлт.</t>
        </is>
      </c>
      <c r="J4" s="5" t="inlineStr">
        <is>
          <t>Жёлт./красн.</t>
        </is>
      </c>
      <c r="K4" s="5" t="inlineStr">
        <is>
          <t>Зел./жёлт., % L</t>
        </is>
      </c>
      <c r="L4" s="5" t="inlineStr">
        <is>
          <t>Жёлт./красн., % L</t>
        </is>
      </c>
      <c r="M4" s="5" t="inlineStr">
        <is>
          <t>Факт</t>
        </is>
      </c>
      <c r="N4" s="5" t="inlineStr">
        <is>
          <t>Зона</t>
        </is>
      </c>
      <c r="O4" s="5" t="inlineStr">
        <is>
          <t>D, σ</t>
        </is>
      </c>
      <c r="P4" s="5" t="inlineStr">
        <is>
          <t>SE(σ)</t>
        </is>
      </c>
    </row>
    <row r="5">
      <c r="A5" s="51" t="inlineStr">
        <is>
          <t>Топ-20 / собственный капитал</t>
        </is>
      </c>
      <c r="B5" s="63" t="inlineStr">
        <is>
          <t>KB</t>
        </is>
      </c>
      <c r="C5" s="64">
        <f>'Расчёт'!D12</f>
        <v/>
      </c>
      <c r="D5" s="65">
        <f>'Расчёт'!D10</f>
        <v/>
      </c>
      <c r="E5" s="65">
        <f>1</f>
        <v/>
      </c>
      <c r="F5" s="64">
        <f>'Расчёт'!D6</f>
        <v/>
      </c>
      <c r="G5" s="64">
        <f>'Расчёт'!D28</f>
        <v/>
      </c>
      <c r="H5" s="64">
        <f>'Расчёт'!D16</f>
        <v/>
      </c>
      <c r="I5" s="64">
        <f>'Расчёт'!D29</f>
        <v/>
      </c>
      <c r="J5" s="64">
        <f>'Расчёт'!D17</f>
        <v/>
      </c>
      <c r="K5" s="64">
        <f>I5/C5*100</f>
        <v/>
      </c>
      <c r="L5" s="64">
        <f>J5/C5*100</f>
        <v/>
      </c>
      <c r="M5" s="64">
        <f>'Расчёт'!D8</f>
        <v/>
      </c>
      <c r="N5" s="66">
        <f>IF(M5&gt;=C5,"НАРУШЕНИЕ",IF(M5&gt;=J5,"КРАСНАЯ",IF(M5&gt;=I5,"ЖЁЛТАЯ","зелёная")))</f>
        <v/>
      </c>
      <c r="O5" s="67">
        <f>(C5-M5)/F5</f>
        <v/>
      </c>
      <c r="P5" s="64">
        <f>F5/SQRT(2*(D5-2))</f>
        <v/>
      </c>
    </row>
    <row r="6" ht="26" customHeight="1">
      <c r="A6" s="68" t="inlineStr">
        <is>
          <t>CoR — стоимость риска (KB_PB)</t>
        </is>
      </c>
      <c r="B6" s="63" t="inlineStr">
        <is>
          <t>KB_PB</t>
        </is>
      </c>
      <c r="C6" s="67" t="n">
        <v>3</v>
      </c>
      <c r="D6" s="65">
        <f>COUNT(cor_kb)</f>
        <v/>
      </c>
      <c r="E6" s="65" t="n">
        <v>1</v>
      </c>
      <c r="F6" s="64">
        <f>STDEV(d_cor_kb)</f>
        <v/>
      </c>
      <c r="G6" s="64">
        <f>z_p*F6*SQRT(4/E6)</f>
        <v/>
      </c>
      <c r="H6" s="64">
        <f>z_p*F6*SQRT(1/E6)</f>
        <v/>
      </c>
      <c r="I6" s="64">
        <f>C6-G6</f>
        <v/>
      </c>
      <c r="J6" s="64">
        <f>C6-H6</f>
        <v/>
      </c>
      <c r="K6" s="69">
        <f>I6/C6*100</f>
        <v/>
      </c>
      <c r="L6" s="69">
        <f>J6/C6*100</f>
        <v/>
      </c>
      <c r="M6" s="64">
        <f>'Ряд'!O40</f>
        <v/>
      </c>
      <c r="N6" s="66">
        <f>IF(M6&gt;=C6,"НАРУШЕНИЕ",IF(M6&gt;=J6,"КРАСНАЯ",IF(M6&gt;=I6,"ЖЁЛТАЯ","зелёная")))</f>
        <v/>
      </c>
      <c r="O6" s="67">
        <f>(C6-M6)/F6</f>
        <v/>
      </c>
      <c r="P6" s="64">
        <f>F6/SQRT(2*(D6-2))</f>
        <v/>
      </c>
    </row>
    <row r="7" ht="26" customHeight="1">
      <c r="A7" s="68" t="inlineStr">
        <is>
          <t>CoR — стоимость риска (MSB)</t>
        </is>
      </c>
      <c r="B7" s="63" t="inlineStr">
        <is>
          <t>MSB</t>
        </is>
      </c>
      <c r="C7" s="67" t="n">
        <v>3.5</v>
      </c>
      <c r="D7" s="65">
        <f>COUNT(cor_ms)</f>
        <v/>
      </c>
      <c r="E7" s="65" t="n">
        <v>1</v>
      </c>
      <c r="F7" s="64">
        <f>STDEV(d_cor_ms)</f>
        <v/>
      </c>
      <c r="G7" s="64">
        <f>z_p*F7*SQRT(4/E7)</f>
        <v/>
      </c>
      <c r="H7" s="64">
        <f>z_p*F7*SQRT(1/E7)</f>
        <v/>
      </c>
      <c r="I7" s="64">
        <f>C7-G7</f>
        <v/>
      </c>
      <c r="J7" s="64">
        <f>C7-H7</f>
        <v/>
      </c>
      <c r="K7" s="69">
        <f>I7/C7*100</f>
        <v/>
      </c>
      <c r="L7" s="69">
        <f>J7/C7*100</f>
        <v/>
      </c>
      <c r="M7" s="64">
        <f>'Ряд'!R40</f>
        <v/>
      </c>
      <c r="N7" s="70">
        <f>IF(M7&gt;=C7,"НАРУШЕНИЕ",IF(M7&gt;=J7,"КРАСНАЯ",IF(M7&gt;=I7,"ЖЁЛТАЯ","зелёная")))</f>
        <v/>
      </c>
      <c r="O7" s="67">
        <f>(C7-M7)/F7</f>
        <v/>
      </c>
      <c r="P7" s="64">
        <f>F7/SQRT(2*(D7-2))</f>
        <v/>
      </c>
    </row>
    <row r="8" ht="26" customHeight="1">
      <c r="A8" s="4">
        <f>'Метрики — ряд'!A5</f>
        <v/>
      </c>
      <c r="B8" s="12">
        <f>'Метрики — ряд'!B5</f>
        <v/>
      </c>
      <c r="C8" s="11">
        <f>'Метрики — ряд'!C5</f>
        <v/>
      </c>
      <c r="D8" s="71">
        <f>COUNT('Метрики — ряд'!D5:L5)</f>
        <v/>
      </c>
      <c r="E8" s="71" t="n">
        <v>3</v>
      </c>
      <c r="F8" s="9">
        <f>STDEV('Метрики — ряд'!N5:U5)</f>
        <v/>
      </c>
      <c r="G8" s="9">
        <f>z_p*F8*SQRT(4/E8)</f>
        <v/>
      </c>
      <c r="H8" s="9">
        <f>z_p*F8*SQRT(1/E8)</f>
        <v/>
      </c>
      <c r="I8" s="9">
        <f>C8-G8</f>
        <v/>
      </c>
      <c r="J8" s="9">
        <f>C8-H8</f>
        <v/>
      </c>
      <c r="K8" s="24">
        <f>I8/C8*100</f>
        <v/>
      </c>
      <c r="L8" s="24">
        <f>J8/C8*100</f>
        <v/>
      </c>
      <c r="M8" s="9">
        <f>'Метрики — ряд'!L5</f>
        <v/>
      </c>
      <c r="N8" s="72">
        <f>IF(M8&gt;=C8,"НАРУШЕНИЕ",IF(M8&gt;=J8,"КРАСНАЯ",IF(M8&gt;=I8,"ЖЁЛТАЯ","зелёная")))</f>
        <v/>
      </c>
      <c r="O8" s="11">
        <f>(C8-M8)/F8</f>
        <v/>
      </c>
      <c r="P8" s="9">
        <f>F8/SQRT(2*(D8-2))</f>
        <v/>
      </c>
    </row>
    <row r="9" ht="26" customHeight="1">
      <c r="A9" s="4">
        <f>'Метрики — ряд'!A6</f>
        <v/>
      </c>
      <c r="B9" s="12">
        <f>'Метрики — ряд'!B6</f>
        <v/>
      </c>
      <c r="C9" s="11">
        <f>'Метрики — ряд'!C6</f>
        <v/>
      </c>
      <c r="D9" s="71">
        <f>COUNT('Метрики — ряд'!D6:L6)</f>
        <v/>
      </c>
      <c r="E9" s="71" t="n">
        <v>3</v>
      </c>
      <c r="F9" s="9">
        <f>STDEV('Метрики — ряд'!N6:U6)</f>
        <v/>
      </c>
      <c r="G9" s="9">
        <f>z_p*F9*SQRT(4/E9)</f>
        <v/>
      </c>
      <c r="H9" s="9">
        <f>z_p*F9*SQRT(1/E9)</f>
        <v/>
      </c>
      <c r="I9" s="9">
        <f>C9-G9</f>
        <v/>
      </c>
      <c r="J9" s="9">
        <f>C9-H9</f>
        <v/>
      </c>
      <c r="K9" s="24">
        <f>I9/C9*100</f>
        <v/>
      </c>
      <c r="L9" s="24">
        <f>J9/C9*100</f>
        <v/>
      </c>
      <c r="M9" s="9">
        <f>'Метрики — ряд'!L6</f>
        <v/>
      </c>
      <c r="N9" s="72">
        <f>IF(M9&gt;=C9,"НАРУШЕНИЕ",IF(M9&gt;=J9,"КРАСНАЯ",IF(M9&gt;=I9,"ЖЁЛТАЯ","зелёная")))</f>
        <v/>
      </c>
      <c r="O9" s="11">
        <f>(C9-M9)/F9</f>
        <v/>
      </c>
      <c r="P9" s="9">
        <f>F9/SQRT(2*(D9-2))</f>
        <v/>
      </c>
    </row>
    <row r="10" ht="26" customHeight="1">
      <c r="A10" s="4">
        <f>'Метрики — ряд'!A7</f>
        <v/>
      </c>
      <c r="B10" s="12">
        <f>'Метрики — ряд'!B7</f>
        <v/>
      </c>
      <c r="C10" s="11">
        <f>'Метрики — ряд'!C7</f>
        <v/>
      </c>
      <c r="D10" s="71">
        <f>COUNT('Метрики — ряд'!D7:L7)</f>
        <v/>
      </c>
      <c r="E10" s="71" t="n">
        <v>3</v>
      </c>
      <c r="F10" s="9">
        <f>STDEV('Метрики — ряд'!N7:U7)</f>
        <v/>
      </c>
      <c r="G10" s="9">
        <f>z_p*F10*SQRT(4/E10)</f>
        <v/>
      </c>
      <c r="H10" s="9">
        <f>z_p*F10*SQRT(1/E10)</f>
        <v/>
      </c>
      <c r="I10" s="9">
        <f>C10-G10</f>
        <v/>
      </c>
      <c r="J10" s="9">
        <f>C10-H10</f>
        <v/>
      </c>
      <c r="K10" s="24">
        <f>I10/C10*100</f>
        <v/>
      </c>
      <c r="L10" s="24">
        <f>J10/C10*100</f>
        <v/>
      </c>
      <c r="M10" s="9">
        <f>'Метрики — ряд'!L7</f>
        <v/>
      </c>
      <c r="N10" s="72">
        <f>IF(M10&gt;=C10,"НАРУШЕНИЕ",IF(M10&gt;=J10,"КРАСНАЯ",IF(M10&gt;=I10,"ЖЁЛТАЯ","зелёная")))</f>
        <v/>
      </c>
      <c r="O10" s="11">
        <f>(C10-M10)/F10</f>
        <v/>
      </c>
      <c r="P10" s="9">
        <f>F10/SQRT(2*(D10-2))</f>
        <v/>
      </c>
    </row>
    <row r="11" ht="26" customHeight="1">
      <c r="A11" s="4">
        <f>'Метрики — ряд'!A8</f>
        <v/>
      </c>
      <c r="B11" s="12">
        <f>'Метрики — ряд'!B8</f>
        <v/>
      </c>
      <c r="C11" s="11">
        <f>'Метрики — ряд'!C8</f>
        <v/>
      </c>
      <c r="D11" s="71">
        <f>COUNT('Метрики — ряд'!D8:L8)</f>
        <v/>
      </c>
      <c r="E11" s="71" t="n">
        <v>3</v>
      </c>
      <c r="F11" s="9">
        <f>STDEV('Метрики — ряд'!N8:U8)</f>
        <v/>
      </c>
      <c r="G11" s="9">
        <f>z_p*F11*SQRT(4/E11)</f>
        <v/>
      </c>
      <c r="H11" s="9">
        <f>z_p*F11*SQRT(1/E11)</f>
        <v/>
      </c>
      <c r="I11" s="9">
        <f>C11-G11</f>
        <v/>
      </c>
      <c r="J11" s="9">
        <f>C11-H11</f>
        <v/>
      </c>
      <c r="K11" s="24">
        <f>I11/C11*100</f>
        <v/>
      </c>
      <c r="L11" s="24">
        <f>J11/C11*100</f>
        <v/>
      </c>
      <c r="M11" s="9">
        <f>'Метрики — ряд'!L8</f>
        <v/>
      </c>
      <c r="N11" s="72">
        <f>IF(M11&gt;=C11,"НАРУШЕНИЕ",IF(M11&gt;=J11,"КРАСНАЯ",IF(M11&gt;=I11,"ЖЁЛТАЯ","зелёная")))</f>
        <v/>
      </c>
      <c r="O11" s="11">
        <f>(C11-M11)/F11</f>
        <v/>
      </c>
      <c r="P11" s="9">
        <f>F11/SQRT(2*(D11-2))</f>
        <v/>
      </c>
    </row>
    <row r="12" ht="26" customHeight="1">
      <c r="A12" s="4">
        <f>'Метрики — ряд'!A9</f>
        <v/>
      </c>
      <c r="B12" s="12">
        <f>'Метрики — ряд'!B9</f>
        <v/>
      </c>
      <c r="C12" s="11">
        <f>'Метрики — ряд'!C9</f>
        <v/>
      </c>
      <c r="D12" s="71">
        <f>COUNT('Метрики — ряд'!D9:L9)</f>
        <v/>
      </c>
      <c r="E12" s="71" t="n">
        <v>3</v>
      </c>
      <c r="F12" s="9">
        <f>STDEV('Метрики — ряд'!N9:U9)</f>
        <v/>
      </c>
      <c r="G12" s="9">
        <f>z_p*F12*SQRT(4/E12)</f>
        <v/>
      </c>
      <c r="H12" s="9">
        <f>z_p*F12*SQRT(1/E12)</f>
        <v/>
      </c>
      <c r="I12" s="9">
        <f>C12-G12</f>
        <v/>
      </c>
      <c r="J12" s="9">
        <f>C12-H12</f>
        <v/>
      </c>
      <c r="K12" s="24">
        <f>I12/C12*100</f>
        <v/>
      </c>
      <c r="L12" s="24">
        <f>J12/C12*100</f>
        <v/>
      </c>
      <c r="M12" s="9">
        <f>'Метрики — ряд'!L9</f>
        <v/>
      </c>
      <c r="N12" s="72">
        <f>IF(M12&gt;=C12,"НАРУШЕНИЕ",IF(M12&gt;=J12,"КРАСНАЯ",IF(M12&gt;=I12,"ЖЁЛТАЯ","зелёная")))</f>
        <v/>
      </c>
      <c r="O12" s="11">
        <f>(C12-M12)/F12</f>
        <v/>
      </c>
      <c r="P12" s="9">
        <f>F12/SQRT(2*(D12-2))</f>
        <v/>
      </c>
    </row>
    <row r="13" ht="26" customHeight="1">
      <c r="A13" s="4">
        <f>'Метрики — ряд'!A10</f>
        <v/>
      </c>
      <c r="B13" s="12">
        <f>'Метрики — ряд'!B10</f>
        <v/>
      </c>
      <c r="C13" s="11">
        <f>'Метрики — ряд'!C10</f>
        <v/>
      </c>
      <c r="D13" s="71">
        <f>COUNT('Метрики — ряд'!D10:L10)</f>
        <v/>
      </c>
      <c r="E13" s="71" t="n">
        <v>3</v>
      </c>
      <c r="F13" s="9">
        <f>STDEV('Метрики — ряд'!N10:U10)</f>
        <v/>
      </c>
      <c r="G13" s="9">
        <f>z_p*F13*SQRT(4/E13)</f>
        <v/>
      </c>
      <c r="H13" s="9">
        <f>z_p*F13*SQRT(1/E13)</f>
        <v/>
      </c>
      <c r="I13" s="9">
        <f>C13-G13</f>
        <v/>
      </c>
      <c r="J13" s="9">
        <f>C13-H13</f>
        <v/>
      </c>
      <c r="K13" s="24">
        <f>I13/C13*100</f>
        <v/>
      </c>
      <c r="L13" s="24">
        <f>J13/C13*100</f>
        <v/>
      </c>
      <c r="M13" s="9">
        <f>'Метрики — ряд'!L10</f>
        <v/>
      </c>
      <c r="N13" s="72">
        <f>IF(M13&gt;=C13,"НАРУШЕНИЕ",IF(M13&gt;=J13,"КРАСНАЯ",IF(M13&gt;=I13,"ЖЁЛТАЯ","зелёная")))</f>
        <v/>
      </c>
      <c r="O13" s="11">
        <f>(C13-M13)/F13</f>
        <v/>
      </c>
      <c r="P13" s="9">
        <f>F13/SQRT(2*(D13-2))</f>
        <v/>
      </c>
    </row>
    <row r="14" ht="26" customHeight="1">
      <c r="A14" s="4">
        <f>'Метрики — ряд'!A11</f>
        <v/>
      </c>
      <c r="B14" s="12">
        <f>'Метрики — ряд'!B11</f>
        <v/>
      </c>
      <c r="C14" s="11">
        <f>'Метрики — ряд'!C11</f>
        <v/>
      </c>
      <c r="D14" s="71">
        <f>COUNT('Метрики — ряд'!D11:L11)</f>
        <v/>
      </c>
      <c r="E14" s="71" t="n">
        <v>3</v>
      </c>
      <c r="F14" s="9">
        <f>STDEV('Метрики — ряд'!N11:U11)</f>
        <v/>
      </c>
      <c r="G14" s="9">
        <f>z_p*F14*SQRT(4/E14)</f>
        <v/>
      </c>
      <c r="H14" s="9">
        <f>z_p*F14*SQRT(1/E14)</f>
        <v/>
      </c>
      <c r="I14" s="9">
        <f>C14-G14</f>
        <v/>
      </c>
      <c r="J14" s="9">
        <f>C14-H14</f>
        <v/>
      </c>
      <c r="K14" s="24">
        <f>I14/C14*100</f>
        <v/>
      </c>
      <c r="L14" s="24">
        <f>J14/C14*100</f>
        <v/>
      </c>
      <c r="M14" s="9">
        <f>'Метрики — ряд'!L11</f>
        <v/>
      </c>
      <c r="N14" s="72">
        <f>IF(M14&gt;=C14,"НАРУШЕНИЕ",IF(M14&gt;=J14,"КРАСНАЯ",IF(M14&gt;=I14,"ЖЁЛТАЯ","зелёная")))</f>
        <v/>
      </c>
      <c r="O14" s="11">
        <f>(C14-M14)/F14</f>
        <v/>
      </c>
      <c r="P14" s="9">
        <f>F14/SQRT(2*(D14-2))</f>
        <v/>
      </c>
    </row>
    <row r="15" ht="26" customHeight="1">
      <c r="A15" s="4">
        <f>'Метрики — ряд'!A12</f>
        <v/>
      </c>
      <c r="B15" s="12">
        <f>'Метрики — ряд'!B12</f>
        <v/>
      </c>
      <c r="C15" s="11">
        <f>'Метрики — ряд'!C12</f>
        <v/>
      </c>
      <c r="D15" s="71">
        <f>COUNT('Метрики — ряд'!D12:L12)</f>
        <v/>
      </c>
      <c r="E15" s="71" t="n">
        <v>3</v>
      </c>
      <c r="F15" s="9">
        <f>STDEV('Метрики — ряд'!N12:U12)</f>
        <v/>
      </c>
      <c r="G15" s="9">
        <f>z_p*F15*SQRT(4/E15)</f>
        <v/>
      </c>
      <c r="H15" s="9">
        <f>z_p*F15*SQRT(1/E15)</f>
        <v/>
      </c>
      <c r="I15" s="9">
        <f>C15-G15</f>
        <v/>
      </c>
      <c r="J15" s="9">
        <f>C15-H15</f>
        <v/>
      </c>
      <c r="K15" s="24">
        <f>I15/C15*100</f>
        <v/>
      </c>
      <c r="L15" s="24">
        <f>J15/C15*100</f>
        <v/>
      </c>
      <c r="M15" s="9">
        <f>'Метрики — ряд'!L12</f>
        <v/>
      </c>
      <c r="N15" s="72">
        <f>IF(M15&gt;=C15,"НАРУШЕНИЕ",IF(M15&gt;=J15,"КРАСНАЯ",IF(M15&gt;=I15,"ЖЁЛТАЯ","зелёная")))</f>
        <v/>
      </c>
      <c r="O15" s="11">
        <f>(C15-M15)/F15</f>
        <v/>
      </c>
      <c r="P15" s="9">
        <f>F15/SQRT(2*(D15-2))</f>
        <v/>
      </c>
    </row>
    <row r="16" ht="26" customHeight="1">
      <c r="A16" s="4">
        <f>'Метрики — ряд'!A13</f>
        <v/>
      </c>
      <c r="B16" s="12">
        <f>'Метрики — ряд'!B13</f>
        <v/>
      </c>
      <c r="C16" s="11">
        <f>'Метрики — ряд'!C13</f>
        <v/>
      </c>
      <c r="D16" s="71">
        <f>COUNT('Метрики — ряд'!D13:L13)</f>
        <v/>
      </c>
      <c r="E16" s="71" t="n">
        <v>3</v>
      </c>
      <c r="F16" s="9">
        <f>STDEV('Метрики — ряд'!N13:U13)</f>
        <v/>
      </c>
      <c r="G16" s="9">
        <f>z_p*F16*SQRT(4/E16)</f>
        <v/>
      </c>
      <c r="H16" s="9">
        <f>z_p*F16*SQRT(1/E16)</f>
        <v/>
      </c>
      <c r="I16" s="9">
        <f>C16-G16</f>
        <v/>
      </c>
      <c r="J16" s="9">
        <f>C16-H16</f>
        <v/>
      </c>
      <c r="K16" s="24">
        <f>I16/C16*100</f>
        <v/>
      </c>
      <c r="L16" s="24">
        <f>J16/C16*100</f>
        <v/>
      </c>
      <c r="M16" s="9">
        <f>'Метрики — ряд'!L13</f>
        <v/>
      </c>
      <c r="N16" s="72">
        <f>IF(M16&gt;=C16,"НАРУШЕНИЕ",IF(M16&gt;=J16,"КРАСНАЯ",IF(M16&gt;=I16,"ЖЁЛТАЯ","зелёная")))</f>
        <v/>
      </c>
      <c r="O16" s="11">
        <f>(C16-M16)/F16</f>
        <v/>
      </c>
      <c r="P16" s="9">
        <f>F16/SQRT(2*(D16-2))</f>
        <v/>
      </c>
    </row>
    <row r="18" ht="52" customHeight="1">
      <c r="A18" s="3" t="inlineStr">
        <is>
          <t>У CoR КБ/ПБ буфер больше самого лимита</t>
        </is>
      </c>
      <c r="B18" s="4" t="inlineStr">
        <is>
          <t>M(4) = 3,2850 при лимите 3,00, поэтому граница зелёной уходит в минус (−0,2850) и колонка K показывает −9,5 %. Это не ошибка расчёта, а свойство метрики: за четыре месяца CoR проходит больше, чем весь её лимит. Зелёной зоны у неё практически нет — 25 наблюдений из 36 ниже границы только потому, что граница отрицательная. Вместе с топ-20 это единственная метрика, где светофор реально переключается: 25 / 9 / 2 / 0.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6" t="n"/>
    </row>
    <row r="19" ht="40" customHeight="1">
      <c r="A19" s="3" t="inlineStr">
        <is>
          <t>Единого процента не существует</t>
        </is>
      </c>
      <c r="B19" s="4" t="inlineStr">
        <is>
          <t>Колонка K разбегается от −9,5 %% (CoR КБ/ПБ) до 99,1 %% (PD необеспеченных). X = 1 − M(T)/L зависит от волатильности относительно лимита: у PD и EL σ крошечная, им граница нужна вплотную к лимиту; у CoR и топ-20 σ большая. Единый порог 85 %% для CoR поздний, для PD ранний в десять раз.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</row>
    <row r="20" ht="40" customHeight="1">
      <c r="A20" s="3" t="inlineStr">
        <is>
          <t>Одиннадцать метрик зелёные, и это правда</t>
        </is>
      </c>
      <c r="B20" s="4" t="inlineStr">
        <is>
          <t>Колонка O: расстояние до лимита 8,6–84,8 σ. Это не пробел в наблюдении, а факт — метрики не могут дойти до своих лимитов. Панель из одиннадцати зелёных ламп надо подавать именно так, а не как «всё под контролем».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6" t="n"/>
    </row>
    <row r="21" ht="40" customHeight="1">
      <c r="A21" s="3" t="inlineStr">
        <is>
          <t>σ известна с точностью около ±25 %%</t>
        </is>
      </c>
      <c r="B21" s="4" t="inlineStr">
        <is>
          <t>Колонка P — стандартная ошибка σ. При восьми приростах она около четверти самой σ, против 12 %% на месячном ряде топ-20. Границы у квартальных метрик известны с той же точностью.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6" t="n"/>
    </row>
    <row r="22" ht="40" customHeight="1">
      <c r="A22" s="3" t="inlineStr">
        <is>
          <t>Дрейф, которого формула не учитывает</t>
        </is>
      </c>
      <c r="B22" s="4" t="inlineStr">
        <is>
          <t>У PD необеспеченных средний квартальный прирост по модулю превышает весь буфер M(T). Ряды не блуждают, а падают монотонно; для тренда σ приростов измеряет наклон, а не волатильность. Допущение нулевого дрейфа, безвредное на топ-20, здесь не выполняется.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6" t="n"/>
    </row>
    <row r="23" ht="40" customHeight="1">
      <c r="A23" s="3" t="inlineStr">
        <is>
          <t>Лимитов-полов формула не умеет</t>
        </is>
      </c>
      <c r="B23" s="4" t="inlineStr">
        <is>
          <t>У кредитных метрик все лимиты — потолки, и расчёт верен. Для k1, LCR, NSFR опасность в падении, и границы должны считаться как L + M(T), а не L − M(T). Если панель станет общей по всем рискам, формула обязана знать направление.</t>
        </is>
      </c>
      <c r="C23" s="55" t="n"/>
      <c r="D23" s="55" t="n"/>
      <c r="E23" s="55" t="n"/>
      <c r="F23" s="55" t="n"/>
      <c r="G23" s="55" t="n"/>
      <c r="H23" s="55" t="n"/>
      <c r="I23" s="55" t="n"/>
      <c r="J23" s="55" t="n"/>
      <c r="K23" s="55" t="n"/>
      <c r="L23" s="55" t="n"/>
      <c r="M23" s="55" t="n"/>
      <c r="N23" s="55" t="n"/>
      <c r="O23" s="55" t="n"/>
      <c r="P23" s="56" t="n"/>
    </row>
  </sheetData>
  <mergeCells count="7">
    <mergeCell ref="B20:P20"/>
    <mergeCell ref="B19:P19"/>
    <mergeCell ref="A2:N2"/>
    <mergeCell ref="B22:P22"/>
    <mergeCell ref="B23:P23"/>
    <mergeCell ref="B18:P18"/>
    <mergeCell ref="B21:P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2026-09-15T05:01:47Z</dcterms:created>
  <dcterms:modified xmlns:dcterms="http://purl.org/dc/terms/" xmlns:xsi="http://www.w3.org/2001/XMLSchema-instance" xsi:type="dcterms:W3CDTF">2026-09-15T05:01:47Z</dcterms:modified>
</cp:coreProperties>
</file>