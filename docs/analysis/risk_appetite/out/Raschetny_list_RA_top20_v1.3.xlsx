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Обоснование M(T)" sheetId="5" state="visible" r:id="rId5"/>
    <sheet xmlns:r="http://schemas.openxmlformats.org/officeDocument/2006/relationships" name="Зоны" sheetId="6" state="visible" r:id="rId6"/>
    <sheet xmlns:r="http://schemas.openxmlformats.org/officeDocument/2006/relationships" name="Две сигмы" sheetId="7" state="visible" r:id="rId7"/>
    <sheet xmlns:r="http://schemas.openxmlformats.org/officeDocument/2006/relationships" name="Триггеры" sheetId="8" state="visible" r:id="rId8"/>
    <sheet xmlns:r="http://schemas.openxmlformats.org/officeDocument/2006/relationships" name="Метрики — ряд" sheetId="9" state="visible" r:id="rId9"/>
    <sheet xmlns:r="http://schemas.openxmlformats.org/officeDocument/2006/relationships" name="Метрики" sheetId="10" state="visible" r:id="rId10"/>
  </sheets>
  <definedNames>
    <definedName name="v">'Ряд'!$H$5:$H$40</definedName>
    <definedName name="d">'Ряд'!$J$6:$J$40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8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DF2CF"/>
      </patternFill>
    </fill>
    <fill>
      <patternFill patternType="solid">
        <fgColor rgb="FFF8DDDA"/>
      </patternFill>
    </fill>
    <fill>
      <patternFill patternType="solid">
        <fgColor rgb="FFFFF4D6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/>
    </xf>
    <xf numFmtId="0" fontId="6" fillId="7" borderId="1" applyAlignment="1" pivotButton="0" quotePrefix="0" xfId="0">
      <alignment horizontal="center" vertical="top"/>
    </xf>
    <xf numFmtId="1" fontId="5" fillId="7" borderId="1" applyAlignment="1" pivotButton="0" quotePrefix="0" xfId="0">
      <alignment horizontal="center" vertical="top"/>
    </xf>
    <xf numFmtId="168" fontId="4" fillId="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166" fontId="4" fillId="3" borderId="1" applyAlignment="1" pivotButton="0" quotePrefix="0" xfId="0">
      <alignment vertical="top"/>
    </xf>
    <xf numFmtId="1" fontId="4" fillId="3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2" fontId="4" fillId="3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14.09.2026.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52" customHeight="1">
      <c r="A4" s="3" t="inlineStr">
        <is>
          <t>Что в книге</t>
        </is>
      </c>
      <c r="B4" s="4" t="inlineStr">
        <is>
          <t>«Ряд» — 36 точек и всё, что считается построчно, обе базы капитала рядом. «Параметры» — семь входов, из них вычисляются два. «Расчёт» — каждое опубликованное число живой формулой против напечатанного. «Обоснование M(T)» — четыре проверки допущений формулы буфера. «Зоны» — разметка и где мы сейчас. «Две сигмы» — остаток Р-Д1. «Триггеры» — все 35 приростов.</t>
        </is>
      </c>
    </row>
    <row r="5" ht="52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6" ht="52" customHeight="1">
      <c r="A6" s="3" t="inlineStr">
        <is>
          <t>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«Почему корень из T»</t>
        </is>
      </c>
      <c r="B7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8" ht="52" customHeight="1">
      <c r="A8" s="3" t="inlineStr">
        <is>
          <t>«Почему нормальное распределение»</t>
        </is>
      </c>
      <c r="B8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M(T)», блок 2.</t>
        </is>
      </c>
    </row>
    <row r="9" ht="52" customHeight="1">
      <c r="A9" s="3" t="inlineStr">
        <is>
          <t>«А буфер не выдуман»</t>
        </is>
      </c>
      <c r="B9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0" ht="44" customHeight="1">
      <c r="A10" s="3" t="inlineStr">
        <is>
          <t>«Почему T = 3»</t>
        </is>
      </c>
      <c r="B10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1" ht="44" customHeight="1">
      <c r="A11" s="3" t="inlineStr">
        <is>
          <t>«Почему 90 %, а не 95 или 99»</t>
        </is>
      </c>
      <c r="B11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2" ht="44" customHeight="1">
      <c r="A12" s="3" t="inlineStr">
        <is>
          <t>«Где мы сейчас»</t>
        </is>
      </c>
      <c r="B12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3" ht="44" customHeight="1">
      <c r="A13" s="3" t="inlineStr">
        <is>
          <t>«А если ничего не менять»</t>
        </is>
      </c>
      <c r="B13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4" ht="52" customHeight="1">
      <c r="A14" s="3" t="inlineStr">
        <is>
          <t>Четыре слабых места — назвать самому</t>
        </is>
      </c>
      <c r="B14" s="4" t="inlineStr">
        <is>
          <t>1) Ряд обрывается на 01.07.2026: на дату записки факт отстаёт на три месяца. 2) T = 3 не измерено. 3) k не константа — за 30 месяцев вырос с 0,779 до 0,875, и уровень, посчитанный по k одной даты, стареет вместе с ним. 4) П. 26 Стратегии о трёх пределах уровня рисков дословно не разобран, поэтому разметка зон — наше предложение, а не соответствие ВНД.</t>
        </is>
      </c>
    </row>
    <row r="15" ht="44" customHeight="1">
      <c r="A15" s="3" t="inlineStr">
        <is>
          <t>Чего книга не доказывает</t>
        </is>
      </c>
      <c r="B15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</cols>
  <sheetData>
    <row r="1">
      <c r="A1" s="1" t="inlineStr">
        <is>
          <t>Ряд топ-20: 36 месячных точек, 01.08.2023 — 01.07.2026</t>
        </is>
      </c>
    </row>
    <row r="2" ht="4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</t>
        </is>
      </c>
    </row>
    <row r="4" ht="32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регуляторный, млн ₸</t>
        </is>
      </c>
      <c r="D4" s="5" t="inlineStr">
        <is>
          <t>СК балансовый, млн ₸</t>
        </is>
      </c>
      <c r="E4" s="5" t="inlineStr">
        <is>
          <t>coef_reg (доля)</t>
        </is>
      </c>
      <c r="F4" s="5" t="inlineStr">
        <is>
          <t>v_reg = coef_reg × 100</t>
        </is>
      </c>
      <c r="G4" s="5" t="inlineStr">
        <is>
          <t>coef_new (доля)</t>
        </is>
      </c>
      <c r="H4" s="5" t="inlineStr">
        <is>
          <t>v_new = coef_new × 100</t>
        </is>
      </c>
      <c r="I4" s="5" t="inlineStr">
        <is>
          <t>Разрыв баз: v_new − v_reg</t>
        </is>
      </c>
      <c r="J4" s="5" t="inlineStr">
        <is>
          <t>Δ = v_new(t) − v_new(t−1)</t>
        </is>
      </c>
      <c r="K4" s="5" t="inlineStr">
        <is>
          <t>ΔСК балансовый, %</t>
        </is>
      </c>
      <c r="L4" s="5" t="inlineStr">
        <is>
          <t>ΔЗайм, %</t>
        </is>
      </c>
      <c r="M4" s="5" t="inlineStr">
        <is>
          <t>Триггер</t>
        </is>
      </c>
    </row>
    <row r="5">
      <c r="A5" s="6" t="inlineStr">
        <is>
          <t>2023-08-01</t>
        </is>
      </c>
      <c r="B5" s="7" t="n">
        <v>323730.9</v>
      </c>
      <c r="C5" s="7" t="n">
        <v>413937.118</v>
      </c>
      <c r="D5" s="7" t="n">
        <v>322505.417</v>
      </c>
      <c r="E5" s="8">
        <f>IF(C5="","",B5/C5)</f>
        <v/>
      </c>
      <c r="F5" s="9">
        <f>IF(E5="","",E5*100)</f>
        <v/>
      </c>
      <c r="G5" s="8">
        <f>B5/D5</f>
        <v/>
      </c>
      <c r="H5" s="9">
        <f>G5*100</f>
        <v/>
      </c>
      <c r="I5" s="9">
        <f>IF(F5="","",H5-F5)</f>
        <v/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422472.24</v>
      </c>
      <c r="D6" s="7" t="n">
        <v>331426.59</v>
      </c>
      <c r="E6" s="8">
        <f>IF(C6="","",B6/C6)</f>
        <v/>
      </c>
      <c r="F6" s="9">
        <f>IF(E6="","",E6*100)</f>
        <v/>
      </c>
      <c r="G6" s="8">
        <f>B6/D6</f>
        <v/>
      </c>
      <c r="H6" s="9">
        <f>G6*100</f>
        <v/>
      </c>
      <c r="I6" s="9">
        <f>IF(F6="","",H6-F6)</f>
        <v/>
      </c>
      <c r="J6" s="9">
        <f>H6-H5</f>
        <v/>
      </c>
      <c r="K6" s="11">
        <f>(D6-D5)/D5*100</f>
        <v/>
      </c>
      <c r="L6" s="11">
        <f>(B6-B5)/B5*100</f>
        <v/>
      </c>
      <c r="M6" s="12">
        <f>IF(AND(K6&lt;=por_sk,L6&gt;=por_zaim),"оба",IF(K6&lt;=por_sk,"СК",IF(L6&gt;=por_zaim,"Займ","")))</f>
        <v/>
      </c>
    </row>
    <row r="7">
      <c r="A7" s="6" t="inlineStr">
        <is>
          <t>2023-10-01</t>
        </is>
      </c>
      <c r="B7" s="7" t="n">
        <v>327285</v>
      </c>
      <c r="C7" s="7" t="n">
        <v>429717.914</v>
      </c>
      <c r="D7" s="7" t="n">
        <v>339057.933</v>
      </c>
      <c r="E7" s="8">
        <f>IF(C7="","",B7/C7)</f>
        <v/>
      </c>
      <c r="F7" s="9">
        <f>IF(E7="","",E7*100)</f>
        <v/>
      </c>
      <c r="G7" s="8">
        <f>B7/D7</f>
        <v/>
      </c>
      <c r="H7" s="9">
        <f>G7*100</f>
        <v/>
      </c>
      <c r="I7" s="9">
        <f>IF(F7="","",H7-F7)</f>
        <v/>
      </c>
      <c r="J7" s="9">
        <f>H7-H6</f>
        <v/>
      </c>
      <c r="K7" s="11">
        <f>(D7-D6)/D6*100</f>
        <v/>
      </c>
      <c r="L7" s="11">
        <f>(B7-B6)/B6*100</f>
        <v/>
      </c>
      <c r="M7" s="12">
        <f>IF(AND(K7&lt;=por_sk,L7&gt;=por_zaim),"оба",IF(K7&lt;=por_sk,"СК",IF(L7&gt;=por_zaim,"Займ","")))</f>
        <v/>
      </c>
    </row>
    <row r="8">
      <c r="A8" s="6" t="inlineStr">
        <is>
          <t>2023-11-01</t>
        </is>
      </c>
      <c r="B8" s="7" t="n">
        <v>338817.1</v>
      </c>
      <c r="C8" s="7" t="n">
        <v>438451.715</v>
      </c>
      <c r="D8" s="7" t="n">
        <v>348167.431</v>
      </c>
      <c r="E8" s="8">
        <f>IF(C8="","",B8/C8)</f>
        <v/>
      </c>
      <c r="F8" s="9">
        <f>IF(E8="","",E8*100)</f>
        <v/>
      </c>
      <c r="G8" s="8">
        <f>B8/D8</f>
        <v/>
      </c>
      <c r="H8" s="9">
        <f>G8*100</f>
        <v/>
      </c>
      <c r="I8" s="9">
        <f>IF(F8="","",H8-F8)</f>
        <v/>
      </c>
      <c r="J8" s="9">
        <f>H8-H7</f>
        <v/>
      </c>
      <c r="K8" s="11">
        <f>(D8-D7)/D7*100</f>
        <v/>
      </c>
      <c r="L8" s="11">
        <f>(B8-B7)/B7*100</f>
        <v/>
      </c>
      <c r="M8" s="12">
        <f>IF(AND(K8&lt;=por_sk,L8&gt;=por_zaim),"оба",IF(K8&lt;=por_sk,"СК",IF(L8&gt;=por_zaim,"Займ","")))</f>
        <v/>
      </c>
    </row>
    <row r="9">
      <c r="A9" s="6" t="inlineStr">
        <is>
          <t>2023-12-01</t>
        </is>
      </c>
      <c r="B9" s="7" t="n">
        <v>343497.7</v>
      </c>
      <c r="C9" s="7" t="n">
        <v>443261.608</v>
      </c>
      <c r="D9" s="7" t="n">
        <v>353304.973</v>
      </c>
      <c r="E9" s="8">
        <f>IF(C9="","",B9/C9)</f>
        <v/>
      </c>
      <c r="F9" s="9">
        <f>IF(E9="","",E9*100)</f>
        <v/>
      </c>
      <c r="G9" s="8">
        <f>B9/D9</f>
        <v/>
      </c>
      <c r="H9" s="9">
        <f>G9*100</f>
        <v/>
      </c>
      <c r="I9" s="9">
        <f>IF(F9="","",H9-F9)</f>
        <v/>
      </c>
      <c r="J9" s="9">
        <f>H9-H8</f>
        <v/>
      </c>
      <c r="K9" s="11">
        <f>(D9-D8)/D8*100</f>
        <v/>
      </c>
      <c r="L9" s="11">
        <f>(B9-B8)/B8*100</f>
        <v/>
      </c>
      <c r="M9" s="12">
        <f>IF(AND(K9&lt;=por_sk,L9&gt;=por_zaim),"оба",IF(K9&lt;=por_sk,"СК",IF(L9&gt;=por_zaim,"Займ","")))</f>
        <v/>
      </c>
    </row>
    <row r="10">
      <c r="A10" s="6" t="inlineStr">
        <is>
          <t>2024-01-01</t>
        </is>
      </c>
      <c r="B10" s="7" t="n">
        <v>372019.3</v>
      </c>
      <c r="C10" s="7" t="n">
        <v>440898.148</v>
      </c>
      <c r="D10" s="7" t="n">
        <v>351291.897</v>
      </c>
      <c r="E10" s="8">
        <f>IF(C10="","",B10/C10)</f>
        <v/>
      </c>
      <c r="F10" s="9">
        <f>IF(E10="","",E10*100)</f>
        <v/>
      </c>
      <c r="G10" s="8">
        <f>B10/D10</f>
        <v/>
      </c>
      <c r="H10" s="9">
        <f>G10*100</f>
        <v/>
      </c>
      <c r="I10" s="9">
        <f>IF(F10="","",H10-F10)</f>
        <v/>
      </c>
      <c r="J10" s="9">
        <f>H10-H9</f>
        <v/>
      </c>
      <c r="K10" s="11">
        <f>(D10-D9)/D9*100</f>
        <v/>
      </c>
      <c r="L10" s="11">
        <f>(B10-B9)/B9*100</f>
        <v/>
      </c>
      <c r="M10" s="12">
        <f>IF(AND(K10&lt;=por_sk,L10&gt;=por_zaim),"оба",IF(K10&lt;=por_sk,"СК",IF(L10&gt;=por_zaim,"Займ","")))</f>
        <v/>
      </c>
    </row>
    <row r="11">
      <c r="A11" s="6" t="inlineStr">
        <is>
          <t>2024-02-01</t>
        </is>
      </c>
      <c r="B11" s="7" t="n">
        <v>359821.6</v>
      </c>
      <c r="C11" s="7" t="n">
        <v>453740.463</v>
      </c>
      <c r="D11" s="7" t="n">
        <v>364498.163</v>
      </c>
      <c r="E11" s="8">
        <f>IF(C11="","",B11/C11)</f>
        <v/>
      </c>
      <c r="F11" s="9">
        <f>IF(E11="","",E11*100)</f>
        <v/>
      </c>
      <c r="G11" s="8">
        <f>B11/D11</f>
        <v/>
      </c>
      <c r="H11" s="9">
        <f>G11*100</f>
        <v/>
      </c>
      <c r="I11" s="9">
        <f>IF(F11="","",H11-F11)</f>
        <v/>
      </c>
      <c r="J11" s="9">
        <f>H11-H10</f>
        <v/>
      </c>
      <c r="K11" s="11">
        <f>(D11-D10)/D10*100</f>
        <v/>
      </c>
      <c r="L11" s="11">
        <f>(B11-B10)/B10*100</f>
        <v/>
      </c>
      <c r="M11" s="12">
        <f>IF(AND(K11&lt;=por_sk,L11&gt;=por_zaim),"оба",IF(K11&lt;=por_sk,"СК",IF(L11&gt;=por_zaim,"Займ","")))</f>
        <v/>
      </c>
    </row>
    <row r="12">
      <c r="A12" s="6" t="inlineStr">
        <is>
          <t>2024-03-01</t>
        </is>
      </c>
      <c r="B12" s="7" t="n">
        <v>371215.4</v>
      </c>
      <c r="C12" s="7" t="n">
        <v>472963.535</v>
      </c>
      <c r="D12" s="7" t="n">
        <v>384072.879</v>
      </c>
      <c r="E12" s="8">
        <f>IF(C12="","",B12/C12)</f>
        <v/>
      </c>
      <c r="F12" s="9">
        <f>IF(E12="","",E12*100)</f>
        <v/>
      </c>
      <c r="G12" s="8">
        <f>B12/D12</f>
        <v/>
      </c>
      <c r="H12" s="9">
        <f>G12*100</f>
        <v/>
      </c>
      <c r="I12" s="9">
        <f>IF(F12="","",H12-F12)</f>
        <v/>
      </c>
      <c r="J12" s="9">
        <f>H12-H11</f>
        <v/>
      </c>
      <c r="K12" s="11">
        <f>(D12-D11)/D11*100</f>
        <v/>
      </c>
      <c r="L12" s="11">
        <f>(B12-B11)/B11*100</f>
        <v/>
      </c>
      <c r="M12" s="12">
        <f>IF(AND(K12&lt;=por_sk,L12&gt;=por_zaim),"оба",IF(K12&lt;=por_sk,"СК",IF(L12&gt;=por_zaim,"Займ","")))</f>
        <v/>
      </c>
    </row>
    <row r="13">
      <c r="A13" s="6" t="inlineStr">
        <is>
          <t>2024-04-01</t>
        </is>
      </c>
      <c r="B13" s="7" t="n">
        <v>363473</v>
      </c>
      <c r="C13" s="7" t="n">
        <v>484711.53</v>
      </c>
      <c r="D13" s="7" t="n">
        <v>396208.88</v>
      </c>
      <c r="E13" s="8">
        <f>IF(C13="","",B13/C13)</f>
        <v/>
      </c>
      <c r="F13" s="9">
        <f>IF(E13="","",E13*100)</f>
        <v/>
      </c>
      <c r="G13" s="8">
        <f>B13/D13</f>
        <v/>
      </c>
      <c r="H13" s="9">
        <f>G13*100</f>
        <v/>
      </c>
      <c r="I13" s="9">
        <f>IF(F13="","",H13-F13)</f>
        <v/>
      </c>
      <c r="J13" s="9">
        <f>H13-H12</f>
        <v/>
      </c>
      <c r="K13" s="11">
        <f>(D13-D12)/D12*100</f>
        <v/>
      </c>
      <c r="L13" s="11">
        <f>(B13-B12)/B12*100</f>
        <v/>
      </c>
      <c r="M13" s="12">
        <f>IF(AND(K13&lt;=por_sk,L13&gt;=por_zaim),"оба",IF(K13&lt;=por_sk,"СК",IF(L13&gt;=por_zaim,"Займ","")))</f>
        <v/>
      </c>
    </row>
    <row r="14">
      <c r="A14" s="6" t="inlineStr">
        <is>
          <t>2024-05-01</t>
        </is>
      </c>
      <c r="B14" s="7" t="n">
        <v>357665.7</v>
      </c>
      <c r="C14" s="7" t="n">
        <v>489303.468</v>
      </c>
      <c r="D14" s="7" t="n">
        <v>401188.386</v>
      </c>
      <c r="E14" s="8">
        <f>IF(C14="","",B14/C14)</f>
        <v/>
      </c>
      <c r="F14" s="9">
        <f>IF(E14="","",E14*100)</f>
        <v/>
      </c>
      <c r="G14" s="8">
        <f>B14/D14</f>
        <v/>
      </c>
      <c r="H14" s="9">
        <f>G14*100</f>
        <v/>
      </c>
      <c r="I14" s="9">
        <f>IF(F14="","",H14-F14)</f>
        <v/>
      </c>
      <c r="J14" s="9">
        <f>H14-H13</f>
        <v/>
      </c>
      <c r="K14" s="11">
        <f>(D14-D13)/D13*100</f>
        <v/>
      </c>
      <c r="L14" s="11">
        <f>(B14-B13)/B13*100</f>
        <v/>
      </c>
      <c r="M14" s="12">
        <f>IF(AND(K14&lt;=por_sk,L14&gt;=por_zaim),"оба",IF(K14&lt;=por_sk,"СК",IF(L14&gt;=por_zaim,"Займ","")))</f>
        <v/>
      </c>
    </row>
    <row r="15">
      <c r="A15" s="6" t="inlineStr">
        <is>
          <t>2024-06-01</t>
        </is>
      </c>
      <c r="B15" s="7" t="n">
        <v>360756.5</v>
      </c>
      <c r="C15" s="7" t="n">
        <v>491481.953</v>
      </c>
      <c r="D15" s="7" t="n">
        <v>403780.012</v>
      </c>
      <c r="E15" s="8">
        <f>IF(C15="","",B15/C15)</f>
        <v/>
      </c>
      <c r="F15" s="9">
        <f>IF(E15="","",E15*100)</f>
        <v/>
      </c>
      <c r="G15" s="8">
        <f>B15/D15</f>
        <v/>
      </c>
      <c r="H15" s="9">
        <f>G15*100</f>
        <v/>
      </c>
      <c r="I15" s="9">
        <f>IF(F15="","",H15-F15)</f>
        <v/>
      </c>
      <c r="J15" s="9">
        <f>H15-H14</f>
        <v/>
      </c>
      <c r="K15" s="11">
        <f>(D15-D14)/D14*100</f>
        <v/>
      </c>
      <c r="L15" s="11">
        <f>(B15-B14)/B14*100</f>
        <v/>
      </c>
      <c r="M15" s="12">
        <f>IF(AND(K15&lt;=por_sk,L15&gt;=por_zaim),"оба",IF(K15&lt;=por_sk,"СК",IF(L15&gt;=por_zaim,"Займ","")))</f>
        <v/>
      </c>
    </row>
    <row r="16">
      <c r="A16" s="6" t="inlineStr">
        <is>
          <t>2024-07-01</t>
        </is>
      </c>
      <c r="B16" s="7" t="n">
        <v>362413.9</v>
      </c>
      <c r="C16" s="7" t="n">
        <v>492537.194</v>
      </c>
      <c r="D16" s="7" t="n">
        <v>405247.486</v>
      </c>
      <c r="E16" s="8">
        <f>IF(C16="","",B16/C16)</f>
        <v/>
      </c>
      <c r="F16" s="9">
        <f>IF(E16="","",E16*100)</f>
        <v/>
      </c>
      <c r="G16" s="8">
        <f>B16/D16</f>
        <v/>
      </c>
      <c r="H16" s="9">
        <f>G16*100</f>
        <v/>
      </c>
      <c r="I16" s="9">
        <f>IF(F16="","",H16-F16)</f>
        <v/>
      </c>
      <c r="J16" s="9">
        <f>H16-H15</f>
        <v/>
      </c>
      <c r="K16" s="11">
        <f>(D16-D15)/D15*100</f>
        <v/>
      </c>
      <c r="L16" s="11">
        <f>(B16-B15)/B15*100</f>
        <v/>
      </c>
      <c r="M16" s="12">
        <f>IF(AND(K16&lt;=por_sk,L16&gt;=por_zaim),"оба",IF(K16&lt;=por_sk,"СК",IF(L16&gt;=por_zaim,"Займ","")))</f>
        <v/>
      </c>
    </row>
    <row r="17">
      <c r="A17" s="6" t="inlineStr">
        <is>
          <t>2024-08-01</t>
        </is>
      </c>
      <c r="B17" s="7" t="n">
        <v>358163.4</v>
      </c>
      <c r="C17" s="7" t="n">
        <v>504710.465</v>
      </c>
      <c r="D17" s="7" t="n">
        <v>417859.74</v>
      </c>
      <c r="E17" s="8">
        <f>IF(C17="","",B17/C17)</f>
        <v/>
      </c>
      <c r="F17" s="9">
        <f>IF(E17="","",E17*100)</f>
        <v/>
      </c>
      <c r="G17" s="8">
        <f>B17/D17</f>
        <v/>
      </c>
      <c r="H17" s="9">
        <f>G17*100</f>
        <v/>
      </c>
      <c r="I17" s="9">
        <f>IF(F17="","",H17-F17)</f>
        <v/>
      </c>
      <c r="J17" s="9">
        <f>H17-H16</f>
        <v/>
      </c>
      <c r="K17" s="11">
        <f>(D17-D16)/D16*100</f>
        <v/>
      </c>
      <c r="L17" s="11">
        <f>(B17-B16)/B16*100</f>
        <v/>
      </c>
      <c r="M17" s="12">
        <f>IF(AND(K17&lt;=por_sk,L17&gt;=por_zaim),"оба",IF(K17&lt;=por_sk,"СК",IF(L17&gt;=por_zaim,"Займ","")))</f>
        <v/>
      </c>
    </row>
    <row r="18">
      <c r="A18" s="6" t="inlineStr">
        <is>
          <t>2024-09-01</t>
        </is>
      </c>
      <c r="B18" s="7" t="n">
        <v>379875.3</v>
      </c>
      <c r="C18" s="7" t="n">
        <v>507597.081</v>
      </c>
      <c r="D18" s="7" t="n">
        <v>421198.748</v>
      </c>
      <c r="E18" s="8">
        <f>IF(C18="","",B18/C18)</f>
        <v/>
      </c>
      <c r="F18" s="9">
        <f>IF(E18="","",E18*100)</f>
        <v/>
      </c>
      <c r="G18" s="8">
        <f>B18/D18</f>
        <v/>
      </c>
      <c r="H18" s="9">
        <f>G18*100</f>
        <v/>
      </c>
      <c r="I18" s="9">
        <f>IF(F18="","",H18-F18)</f>
        <v/>
      </c>
      <c r="J18" s="9">
        <f>H18-H17</f>
        <v/>
      </c>
      <c r="K18" s="11">
        <f>(D18-D17)/D17*100</f>
        <v/>
      </c>
      <c r="L18" s="11">
        <f>(B18-B17)/B17*100</f>
        <v/>
      </c>
      <c r="M18" s="12">
        <f>IF(AND(K18&lt;=por_sk,L18&gt;=por_zaim),"оба",IF(K18&lt;=por_sk,"СК",IF(L18&gt;=por_zaim,"Займ","")))</f>
        <v/>
      </c>
    </row>
    <row r="19">
      <c r="A19" s="6" t="inlineStr">
        <is>
          <t>2024-10-01</t>
        </is>
      </c>
      <c r="B19" s="7" t="n">
        <v>384443.9</v>
      </c>
      <c r="C19" s="7" t="n">
        <v>510558.266</v>
      </c>
      <c r="D19" s="7" t="n">
        <v>424610.677</v>
      </c>
      <c r="E19" s="8">
        <f>IF(C19="","",B19/C19)</f>
        <v/>
      </c>
      <c r="F19" s="9">
        <f>IF(E19="","",E19*100)</f>
        <v/>
      </c>
      <c r="G19" s="8">
        <f>B19/D19</f>
        <v/>
      </c>
      <c r="H19" s="9">
        <f>G19*100</f>
        <v/>
      </c>
      <c r="I19" s="9">
        <f>IF(F19="","",H19-F19)</f>
        <v/>
      </c>
      <c r="J19" s="9">
        <f>H19-H18</f>
        <v/>
      </c>
      <c r="K19" s="11">
        <f>(D19-D18)/D18*100</f>
        <v/>
      </c>
      <c r="L19" s="11">
        <f>(B19-B18)/B18*100</f>
        <v/>
      </c>
      <c r="M19" s="12">
        <f>IF(AND(K19&lt;=por_sk,L19&gt;=por_zaim),"оба",IF(K19&lt;=por_sk,"СК",IF(L19&gt;=por_zaim,"Займ","")))</f>
        <v/>
      </c>
    </row>
    <row r="20">
      <c r="A20" s="6" t="inlineStr">
        <is>
          <t>2024-11-01</t>
        </is>
      </c>
      <c r="B20" s="7" t="n">
        <v>376972.2</v>
      </c>
      <c r="C20" s="7" t="n">
        <v>525225.334</v>
      </c>
      <c r="D20" s="7" t="n">
        <v>439721.605</v>
      </c>
      <c r="E20" s="8">
        <f>IF(C20="","",B20/C20)</f>
        <v/>
      </c>
      <c r="F20" s="9">
        <f>IF(E20="","",E20*100)</f>
        <v/>
      </c>
      <c r="G20" s="8">
        <f>B20/D20</f>
        <v/>
      </c>
      <c r="H20" s="9">
        <f>G20*100</f>
        <v/>
      </c>
      <c r="I20" s="9">
        <f>IF(F20="","",H20-F20)</f>
        <v/>
      </c>
      <c r="J20" s="9">
        <f>H20-H19</f>
        <v/>
      </c>
      <c r="K20" s="11">
        <f>(D20-D19)/D19*100</f>
        <v/>
      </c>
      <c r="L20" s="11">
        <f>(B20-B19)/B19*100</f>
        <v/>
      </c>
      <c r="M20" s="12">
        <f>IF(AND(K20&lt;=por_sk,L20&gt;=por_zaim),"оба",IF(K20&lt;=por_sk,"СК",IF(L20&gt;=por_zaim,"Займ","")))</f>
        <v/>
      </c>
    </row>
    <row r="21">
      <c r="A21" s="6" t="inlineStr">
        <is>
          <t>2024-12-01</t>
        </is>
      </c>
      <c r="B21" s="7" t="n">
        <v>382966.5</v>
      </c>
      <c r="C21" s="7" t="n">
        <v>529015.162</v>
      </c>
      <c r="D21" s="7" t="n">
        <v>443905.946</v>
      </c>
      <c r="E21" s="8">
        <f>IF(C21="","",B21/C21)</f>
        <v/>
      </c>
      <c r="F21" s="9">
        <f>IF(E21="","",E21*100)</f>
        <v/>
      </c>
      <c r="G21" s="8">
        <f>B21/D21</f>
        <v/>
      </c>
      <c r="H21" s="9">
        <f>G21*100</f>
        <v/>
      </c>
      <c r="I21" s="9">
        <f>IF(F21="","",H21-F21)</f>
        <v/>
      </c>
      <c r="J21" s="9">
        <f>H21-H20</f>
        <v/>
      </c>
      <c r="K21" s="11">
        <f>(D21-D20)/D20*100</f>
        <v/>
      </c>
      <c r="L21" s="11">
        <f>(B21-B20)/B20*100</f>
        <v/>
      </c>
      <c r="M21" s="12">
        <f>IF(AND(K21&lt;=por_sk,L21&gt;=por_zaim),"оба",IF(K21&lt;=por_sk,"СК",IF(L21&gt;=por_zaim,"Займ","")))</f>
        <v/>
      </c>
    </row>
    <row r="22">
      <c r="A22" s="6" t="inlineStr">
        <is>
          <t>2025-01-01</t>
        </is>
      </c>
      <c r="B22" s="7" t="n">
        <v>378199.4</v>
      </c>
      <c r="C22" s="7" t="n">
        <v>545923.954</v>
      </c>
      <c r="D22" s="7" t="n">
        <v>461235.157</v>
      </c>
      <c r="E22" s="8">
        <f>IF(C22="","",B22/C22)</f>
        <v/>
      </c>
      <c r="F22" s="9">
        <f>IF(E22="","",E22*100)</f>
        <v/>
      </c>
      <c r="G22" s="8">
        <f>B22/D22</f>
        <v/>
      </c>
      <c r="H22" s="9">
        <f>G22*100</f>
        <v/>
      </c>
      <c r="I22" s="9">
        <f>IF(F22="","",H22-F22)</f>
        <v/>
      </c>
      <c r="J22" s="9">
        <f>H22-H21</f>
        <v/>
      </c>
      <c r="K22" s="11">
        <f>(D22-D21)/D21*100</f>
        <v/>
      </c>
      <c r="L22" s="11">
        <f>(B22-B21)/B21*100</f>
        <v/>
      </c>
      <c r="M22" s="12">
        <f>IF(AND(K22&lt;=por_sk,L22&gt;=por_zaim),"оба",IF(K22&lt;=por_sk,"СК",IF(L22&gt;=por_zaim,"Займ","")))</f>
        <v/>
      </c>
    </row>
    <row r="23">
      <c r="A23" s="6" t="inlineStr">
        <is>
          <t>2025-02-01</t>
        </is>
      </c>
      <c r="B23" s="7" t="n">
        <v>370820.7</v>
      </c>
      <c r="C23" s="7" t="n">
        <v>547253.772</v>
      </c>
      <c r="D23" s="7" t="n">
        <v>462997.148</v>
      </c>
      <c r="E23" s="8">
        <f>IF(C23="","",B23/C23)</f>
        <v/>
      </c>
      <c r="F23" s="9">
        <f>IF(E23="","",E23*100)</f>
        <v/>
      </c>
      <c r="G23" s="8">
        <f>B23/D23</f>
        <v/>
      </c>
      <c r="H23" s="9">
        <f>G23*100</f>
        <v/>
      </c>
      <c r="I23" s="9">
        <f>IF(F23="","",H23-F23)</f>
        <v/>
      </c>
      <c r="J23" s="9">
        <f>H23-H22</f>
        <v/>
      </c>
      <c r="K23" s="11">
        <f>(D23-D22)/D22*100</f>
        <v/>
      </c>
      <c r="L23" s="11">
        <f>(B23-B22)/B22*100</f>
        <v/>
      </c>
      <c r="M23" s="12">
        <f>IF(AND(K23&lt;=por_sk,L23&gt;=por_zaim),"оба",IF(K23&lt;=por_sk,"СК",IF(L23&gt;=por_zaim,"Займ","")))</f>
        <v/>
      </c>
    </row>
    <row r="24">
      <c r="A24" s="6" t="inlineStr">
        <is>
          <t>2025-03-01</t>
        </is>
      </c>
      <c r="B24" s="7" t="n">
        <v>367097.44</v>
      </c>
      <c r="C24" s="7" t="n">
        <v>550880.598</v>
      </c>
      <c r="D24" s="7" t="n">
        <v>467025.778</v>
      </c>
      <c r="E24" s="8">
        <f>IF(C24="","",B24/C24)</f>
        <v/>
      </c>
      <c r="F24" s="9">
        <f>IF(E24="","",E24*100)</f>
        <v/>
      </c>
      <c r="G24" s="8">
        <f>B24/D24</f>
        <v/>
      </c>
      <c r="H24" s="9">
        <f>G24*100</f>
        <v/>
      </c>
      <c r="I24" s="9">
        <f>IF(F24="","",H24-F24)</f>
        <v/>
      </c>
      <c r="J24" s="9">
        <f>H24-H23</f>
        <v/>
      </c>
      <c r="K24" s="11">
        <f>(D24-D23)/D23*100</f>
        <v/>
      </c>
      <c r="L24" s="11">
        <f>(B24-B23)/B23*100</f>
        <v/>
      </c>
      <c r="M24" s="12">
        <f>IF(AND(K24&lt;=por_sk,L24&gt;=por_zaim),"оба",IF(K24&lt;=por_sk,"СК",IF(L24&gt;=por_zaim,"Займ","")))</f>
        <v/>
      </c>
    </row>
    <row r="25">
      <c r="A25" s="6" t="inlineStr">
        <is>
          <t>2025-04-01</t>
        </is>
      </c>
      <c r="B25" s="7" t="n">
        <v>395318.8</v>
      </c>
      <c r="C25" s="7" t="n">
        <v>535450.627</v>
      </c>
      <c r="D25" s="7" t="n">
        <v>452053.517</v>
      </c>
      <c r="E25" s="8">
        <f>IF(C25="","",B25/C25)</f>
        <v/>
      </c>
      <c r="F25" s="9">
        <f>IF(E25="","",E25*100)</f>
        <v/>
      </c>
      <c r="G25" s="8">
        <f>B25/D25</f>
        <v/>
      </c>
      <c r="H25" s="9">
        <f>G25*100</f>
        <v/>
      </c>
      <c r="I25" s="9">
        <f>IF(F25="","",H25-F25)</f>
        <v/>
      </c>
      <c r="J25" s="9">
        <f>H25-H24</f>
        <v/>
      </c>
      <c r="K25" s="11">
        <f>(D25-D24)/D24*100</f>
        <v/>
      </c>
      <c r="L25" s="11">
        <f>(B25-B24)/B24*100</f>
        <v/>
      </c>
      <c r="M25" s="12">
        <f>IF(AND(K25&lt;=por_sk,L25&gt;=por_zaim),"оба",IF(K25&lt;=por_sk,"СК",IF(L25&gt;=por_zaim,"Займ","")))</f>
        <v/>
      </c>
    </row>
    <row r="26">
      <c r="A26" s="6" t="inlineStr">
        <is>
          <t>2025-05-01</t>
        </is>
      </c>
      <c r="B26" s="7" t="n">
        <v>413164.5</v>
      </c>
      <c r="C26" s="7" t="n">
        <v>539662.3540000001</v>
      </c>
      <c r="D26" s="7" t="n">
        <v>456721.225</v>
      </c>
      <c r="E26" s="8">
        <f>IF(C26="","",B26/C26)</f>
        <v/>
      </c>
      <c r="F26" s="9">
        <f>IF(E26="","",E26*100)</f>
        <v/>
      </c>
      <c r="G26" s="8">
        <f>B26/D26</f>
        <v/>
      </c>
      <c r="H26" s="9">
        <f>G26*100</f>
        <v/>
      </c>
      <c r="I26" s="9">
        <f>IF(F26="","",H26-F26)</f>
        <v/>
      </c>
      <c r="J26" s="9">
        <f>H26-H25</f>
        <v/>
      </c>
      <c r="K26" s="11">
        <f>(D26-D25)/D25*100</f>
        <v/>
      </c>
      <c r="L26" s="11">
        <f>(B26-B25)/B25*100</f>
        <v/>
      </c>
      <c r="M26" s="12">
        <f>IF(AND(K26&lt;=por_sk,L26&gt;=por_zaim),"оба",IF(K26&lt;=por_sk,"СК",IF(L26&gt;=por_zaim,"Займ","")))</f>
        <v/>
      </c>
    </row>
    <row r="27">
      <c r="A27" s="6" t="inlineStr">
        <is>
          <t>2025-06-01</t>
        </is>
      </c>
      <c r="B27" s="7" t="n">
        <v>409495.1</v>
      </c>
      <c r="C27" s="7" t="n">
        <v>544012.9939999999</v>
      </c>
      <c r="D27" s="7" t="n">
        <v>461556.705</v>
      </c>
      <c r="E27" s="8">
        <f>IF(C27="","",B27/C27)</f>
        <v/>
      </c>
      <c r="F27" s="9">
        <f>IF(E27="","",E27*100)</f>
        <v/>
      </c>
      <c r="G27" s="8">
        <f>B27/D27</f>
        <v/>
      </c>
      <c r="H27" s="9">
        <f>G27*100</f>
        <v/>
      </c>
      <c r="I27" s="9">
        <f>IF(F27="","",H27-F27)</f>
        <v/>
      </c>
      <c r="J27" s="9">
        <f>H27-H26</f>
        <v/>
      </c>
      <c r="K27" s="11">
        <f>(D27-D26)/D26*100</f>
        <v/>
      </c>
      <c r="L27" s="11">
        <f>(B27-B26)/B26*100</f>
        <v/>
      </c>
      <c r="M27" s="12">
        <f>IF(AND(K27&lt;=por_sk,L27&gt;=por_zaim),"оба",IF(K27&lt;=por_sk,"СК",IF(L27&gt;=por_zaim,"Займ","")))</f>
        <v/>
      </c>
    </row>
    <row r="28">
      <c r="A28" s="6" t="inlineStr">
        <is>
          <t>2025-07-01</t>
        </is>
      </c>
      <c r="B28" s="7" t="n">
        <v>421189.4</v>
      </c>
      <c r="C28" s="7" t="n">
        <v>548877.325</v>
      </c>
      <c r="D28" s="7" t="n">
        <v>466904.637</v>
      </c>
      <c r="E28" s="8">
        <f>IF(C28="","",B28/C28)</f>
        <v/>
      </c>
      <c r="F28" s="9">
        <f>IF(E28="","",E28*100)</f>
        <v/>
      </c>
      <c r="G28" s="8">
        <f>B28/D28</f>
        <v/>
      </c>
      <c r="H28" s="9">
        <f>G28*100</f>
        <v/>
      </c>
      <c r="I28" s="9">
        <f>IF(F28="","",H28-F28)</f>
        <v/>
      </c>
      <c r="J28" s="9">
        <f>H28-H27</f>
        <v/>
      </c>
      <c r="K28" s="11">
        <f>(D28-D27)/D27*100</f>
        <v/>
      </c>
      <c r="L28" s="11">
        <f>(B28-B27)/B27*100</f>
        <v/>
      </c>
      <c r="M28" s="12">
        <f>IF(AND(K28&lt;=por_sk,L28&gt;=por_zaim),"оба",IF(K28&lt;=por_sk,"СК",IF(L28&gt;=por_zaim,"Займ","")))</f>
        <v/>
      </c>
    </row>
    <row r="29">
      <c r="A29" s="6" t="inlineStr">
        <is>
          <t>2025-08-01</t>
        </is>
      </c>
      <c r="B29" s="7" t="n">
        <v>421697.9</v>
      </c>
      <c r="C29" s="7" t="n">
        <v>541721.687</v>
      </c>
      <c r="D29" s="7" t="n">
        <v>460260.73</v>
      </c>
      <c r="E29" s="8">
        <f>IF(C29="","",B29/C29)</f>
        <v/>
      </c>
      <c r="F29" s="9">
        <f>IF(E29="","",E29*100)</f>
        <v/>
      </c>
      <c r="G29" s="8">
        <f>B29/D29</f>
        <v/>
      </c>
      <c r="H29" s="9">
        <f>G29*100</f>
        <v/>
      </c>
      <c r="I29" s="9">
        <f>IF(F29="","",H29-F29)</f>
        <v/>
      </c>
      <c r="J29" s="9">
        <f>H29-H28</f>
        <v/>
      </c>
      <c r="K29" s="11">
        <f>(D29-D28)/D28*100</f>
        <v/>
      </c>
      <c r="L29" s="11">
        <f>(B29-B28)/B28*100</f>
        <v/>
      </c>
      <c r="M29" s="12">
        <f>IF(AND(K29&lt;=por_sk,L29&gt;=por_zaim),"оба",IF(K29&lt;=por_sk,"СК",IF(L29&gt;=por_zaim,"Займ","")))</f>
        <v/>
      </c>
    </row>
    <row r="30">
      <c r="A30" s="6" t="inlineStr">
        <is>
          <t>2025-09-01</t>
        </is>
      </c>
      <c r="B30" s="7" t="n">
        <v>420361.1</v>
      </c>
      <c r="C30" s="7" t="n">
        <v>547298.225</v>
      </c>
      <c r="D30" s="7" t="n">
        <v>466364.472</v>
      </c>
      <c r="E30" s="8">
        <f>IF(C30="","",B30/C30)</f>
        <v/>
      </c>
      <c r="F30" s="9">
        <f>IF(E30="","",E30*100)</f>
        <v/>
      </c>
      <c r="G30" s="8">
        <f>B30/D30</f>
        <v/>
      </c>
      <c r="H30" s="9">
        <f>G30*100</f>
        <v/>
      </c>
      <c r="I30" s="9">
        <f>IF(F30="","",H30-F30)</f>
        <v/>
      </c>
      <c r="J30" s="9">
        <f>H30-H29</f>
        <v/>
      </c>
      <c r="K30" s="11">
        <f>(D30-D29)/D29*100</f>
        <v/>
      </c>
      <c r="L30" s="11">
        <f>(B30-B29)/B29*100</f>
        <v/>
      </c>
      <c r="M30" s="12">
        <f>IF(AND(K30&lt;=por_sk,L30&gt;=por_zaim),"оба",IF(K30&lt;=por_sk,"СК",IF(L30&gt;=por_zaim,"Займ","")))</f>
        <v/>
      </c>
    </row>
    <row r="31">
      <c r="A31" s="6" t="inlineStr">
        <is>
          <t>2025-10-01</t>
        </is>
      </c>
      <c r="B31" s="7" t="n">
        <v>421816</v>
      </c>
      <c r="C31" s="7" t="n">
        <v>550245.387</v>
      </c>
      <c r="D31" s="7" t="n">
        <v>469835.804</v>
      </c>
      <c r="E31" s="8">
        <f>IF(C31="","",B31/C31)</f>
        <v/>
      </c>
      <c r="F31" s="9">
        <f>IF(E31="","",E31*100)</f>
        <v/>
      </c>
      <c r="G31" s="8">
        <f>B31/D31</f>
        <v/>
      </c>
      <c r="H31" s="9">
        <f>G31*100</f>
        <v/>
      </c>
      <c r="I31" s="9">
        <f>IF(F31="","",H31-F31)</f>
        <v/>
      </c>
      <c r="J31" s="9">
        <f>H31-H30</f>
        <v/>
      </c>
      <c r="K31" s="11">
        <f>(D31-D30)/D30*100</f>
        <v/>
      </c>
      <c r="L31" s="11">
        <f>(B31-B30)/B30*100</f>
        <v/>
      </c>
      <c r="M31" s="12">
        <f>IF(AND(K31&lt;=por_sk,L31&gt;=por_zaim),"оба",IF(K31&lt;=por_sk,"СК",IF(L31&gt;=por_zaim,"Займ","")))</f>
        <v/>
      </c>
    </row>
    <row r="32">
      <c r="A32" s="6" t="inlineStr">
        <is>
          <t>2025-11-01</t>
        </is>
      </c>
      <c r="B32" s="7" t="n">
        <v>403001.7</v>
      </c>
      <c r="C32" s="7" t="n">
        <v>547740.925</v>
      </c>
      <c r="D32" s="7" t="n">
        <v>467852.15</v>
      </c>
      <c r="E32" s="8">
        <f>IF(C32="","",B32/C32)</f>
        <v/>
      </c>
      <c r="F32" s="9">
        <f>IF(E32="","",E32*100)</f>
        <v/>
      </c>
      <c r="G32" s="8">
        <f>B32/D32</f>
        <v/>
      </c>
      <c r="H32" s="9">
        <f>G32*100</f>
        <v/>
      </c>
      <c r="I32" s="9">
        <f>IF(F32="","",H32-F32)</f>
        <v/>
      </c>
      <c r="J32" s="9">
        <f>H32-H31</f>
        <v/>
      </c>
      <c r="K32" s="11">
        <f>(D32-D31)/D31*100</f>
        <v/>
      </c>
      <c r="L32" s="11">
        <f>(B32-B31)/B31*100</f>
        <v/>
      </c>
      <c r="M32" s="12">
        <f>IF(AND(K32&lt;=por_sk,L32&gt;=por_zaim),"оба",IF(K32&lt;=por_sk,"СК",IF(L32&gt;=por_zaim,"Займ","")))</f>
        <v/>
      </c>
    </row>
    <row r="33">
      <c r="A33" s="6" t="inlineStr">
        <is>
          <t>2025-12-01</t>
        </is>
      </c>
      <c r="B33" s="7" t="n">
        <v>411642.9</v>
      </c>
      <c r="C33" s="7" t="n">
        <v>557685.15</v>
      </c>
      <c r="D33" s="7" t="n">
        <v>477796.375</v>
      </c>
      <c r="E33" s="8">
        <f>IF(C33="","",B33/C33)</f>
        <v/>
      </c>
      <c r="F33" s="9">
        <f>IF(E33="","",E33*100)</f>
        <v/>
      </c>
      <c r="G33" s="8">
        <f>B33/D33</f>
        <v/>
      </c>
      <c r="H33" s="9">
        <f>G33*100</f>
        <v/>
      </c>
      <c r="I33" s="9">
        <f>IF(F33="","",H33-F33)</f>
        <v/>
      </c>
      <c r="J33" s="9">
        <f>H33-H32</f>
        <v/>
      </c>
      <c r="K33" s="11">
        <f>(D33-D32)/D32*100</f>
        <v/>
      </c>
      <c r="L33" s="11">
        <f>(B33-B32)/B32*100</f>
        <v/>
      </c>
      <c r="M33" s="12">
        <f>IF(AND(K33&lt;=por_sk,L33&gt;=por_zaim),"оба",IF(K33&lt;=por_sk,"СК",IF(L33&gt;=por_zaim,"Займ","")))</f>
        <v/>
      </c>
    </row>
    <row r="34">
      <c r="A34" s="6" t="inlineStr">
        <is>
          <t>2026-01-01</t>
        </is>
      </c>
      <c r="B34" s="7" t="n">
        <v>421717.7</v>
      </c>
      <c r="C34" s="7" t="n">
        <v>503086.114</v>
      </c>
      <c r="D34" s="7" t="n">
        <v>439961.267</v>
      </c>
      <c r="E34" s="8">
        <f>IF(C34="","",B34/C34)</f>
        <v/>
      </c>
      <c r="F34" s="9">
        <f>IF(E34="","",E34*100)</f>
        <v/>
      </c>
      <c r="G34" s="8">
        <f>B34/D34</f>
        <v/>
      </c>
      <c r="H34" s="9">
        <f>G34*100</f>
        <v/>
      </c>
      <c r="I34" s="9">
        <f>IF(F34="","",H34-F34)</f>
        <v/>
      </c>
      <c r="J34" s="9">
        <f>H34-H33</f>
        <v/>
      </c>
      <c r="K34" s="11">
        <f>(D34-D33)/D33*100</f>
        <v/>
      </c>
      <c r="L34" s="11">
        <f>(B34-B33)/B33*100</f>
        <v/>
      </c>
      <c r="M34" s="12">
        <f>IF(AND(K34&lt;=por_sk,L34&gt;=por_zaim),"оба",IF(K34&lt;=por_sk,"СК",IF(L34&gt;=por_zaim,"Займ","")))</f>
        <v/>
      </c>
    </row>
    <row r="35">
      <c r="A35" s="6" t="inlineStr">
        <is>
          <t>2026-02-01</t>
        </is>
      </c>
      <c r="B35" s="7" t="n">
        <v>393670.5</v>
      </c>
      <c r="C35" s="7" t="n"/>
      <c r="D35" s="7" t="n">
        <v>440063.853</v>
      </c>
      <c r="E35" s="8">
        <f>IF(C35="","",B35/C35)</f>
        <v/>
      </c>
      <c r="F35" s="9">
        <f>IF(E35="","",E35*100)</f>
        <v/>
      </c>
      <c r="G35" s="8">
        <f>B35/D35</f>
        <v/>
      </c>
      <c r="H35" s="9">
        <f>G35*100</f>
        <v/>
      </c>
      <c r="I35" s="9">
        <f>IF(F35="","",H35-F35)</f>
        <v/>
      </c>
      <c r="J35" s="9">
        <f>H35-H34</f>
        <v/>
      </c>
      <c r="K35" s="11">
        <f>(D35-D34)/D34*100</f>
        <v/>
      </c>
      <c r="L35" s="11">
        <f>(B35-B34)/B34*100</f>
        <v/>
      </c>
      <c r="M35" s="12">
        <f>IF(AND(K35&lt;=por_sk,L35&gt;=por_zaim),"оба",IF(K35&lt;=por_sk,"СК",IF(L35&gt;=por_zaim,"Займ","")))</f>
        <v/>
      </c>
    </row>
    <row r="36">
      <c r="A36" s="6" t="inlineStr">
        <is>
          <t>2026-03-01</t>
        </is>
      </c>
      <c r="B36" s="7" t="n">
        <v>395281.7</v>
      </c>
      <c r="C36" s="7" t="n"/>
      <c r="D36" s="7" t="n">
        <v>449623.796</v>
      </c>
      <c r="E36" s="8">
        <f>IF(C36="","",B36/C36)</f>
        <v/>
      </c>
      <c r="F36" s="9">
        <f>IF(E36="","",E36*100)</f>
        <v/>
      </c>
      <c r="G36" s="8">
        <f>B36/D36</f>
        <v/>
      </c>
      <c r="H36" s="9">
        <f>G36*100</f>
        <v/>
      </c>
      <c r="I36" s="9">
        <f>IF(F36="","",H36-F36)</f>
        <v/>
      </c>
      <c r="J36" s="9">
        <f>H36-H35</f>
        <v/>
      </c>
      <c r="K36" s="11">
        <f>(D36-D35)/D35*100</f>
        <v/>
      </c>
      <c r="L36" s="11">
        <f>(B36-B35)/B35*100</f>
        <v/>
      </c>
      <c r="M36" s="12">
        <f>IF(AND(K36&lt;=por_sk,L36&gt;=por_zaim),"оба",IF(K36&lt;=por_sk,"СК",IF(L36&gt;=por_zaim,"Займ","")))</f>
        <v/>
      </c>
    </row>
    <row r="37">
      <c r="A37" s="6" t="inlineStr">
        <is>
          <t>2026-04-01</t>
        </is>
      </c>
      <c r="B37" s="7" t="n">
        <v>416607.1</v>
      </c>
      <c r="C37" s="7" t="n"/>
      <c r="D37" s="7" t="n">
        <v>446679.827</v>
      </c>
      <c r="E37" s="8">
        <f>IF(C37="","",B37/C37)</f>
        <v/>
      </c>
      <c r="F37" s="9">
        <f>IF(E37="","",E37*100)</f>
        <v/>
      </c>
      <c r="G37" s="8">
        <f>B37/D37</f>
        <v/>
      </c>
      <c r="H37" s="9">
        <f>G37*100</f>
        <v/>
      </c>
      <c r="I37" s="9">
        <f>IF(F37="","",H37-F37)</f>
        <v/>
      </c>
      <c r="J37" s="9">
        <f>H37-H36</f>
        <v/>
      </c>
      <c r="K37" s="11">
        <f>(D37-D36)/D36*100</f>
        <v/>
      </c>
      <c r="L37" s="11">
        <f>(B37-B36)/B36*100</f>
        <v/>
      </c>
      <c r="M37" s="12">
        <f>IF(AND(K37&lt;=por_sk,L37&gt;=por_zaim),"оба",IF(K37&lt;=por_sk,"СК",IF(L37&gt;=por_zaim,"Займ","")))</f>
        <v/>
      </c>
    </row>
    <row r="38">
      <c r="A38" s="6" t="inlineStr">
        <is>
          <t>2026-05-01</t>
        </is>
      </c>
      <c r="B38" s="7" t="n">
        <v>439754.5</v>
      </c>
      <c r="C38" s="7" t="n"/>
      <c r="D38" s="7" t="n">
        <v>446857.154</v>
      </c>
      <c r="E38" s="8">
        <f>IF(C38="","",B38/C38)</f>
        <v/>
      </c>
      <c r="F38" s="9">
        <f>IF(E38="","",E38*100)</f>
        <v/>
      </c>
      <c r="G38" s="8">
        <f>B38/D38</f>
        <v/>
      </c>
      <c r="H38" s="9">
        <f>G38*100</f>
        <v/>
      </c>
      <c r="I38" s="9">
        <f>IF(F38="","",H38-F38)</f>
        <v/>
      </c>
      <c r="J38" s="9">
        <f>H38-H37</f>
        <v/>
      </c>
      <c r="K38" s="11">
        <f>(D38-D37)/D37*100</f>
        <v/>
      </c>
      <c r="L38" s="11">
        <f>(B38-B37)/B37*100</f>
        <v/>
      </c>
      <c r="M38" s="12">
        <f>IF(AND(K38&lt;=por_sk,L38&gt;=por_zaim),"оба",IF(K38&lt;=por_sk,"СК",IF(L38&gt;=por_zaim,"Займ","")))</f>
        <v/>
      </c>
    </row>
    <row r="39">
      <c r="A39" s="6" t="inlineStr">
        <is>
          <t>2026-06-01</t>
        </is>
      </c>
      <c r="B39" s="7" t="n">
        <v>444048.8</v>
      </c>
      <c r="C39" s="7" t="n"/>
      <c r="D39" s="7" t="n">
        <v>440316.783</v>
      </c>
      <c r="E39" s="8">
        <f>IF(C39="","",B39/C39)</f>
        <v/>
      </c>
      <c r="F39" s="9">
        <f>IF(E39="","",E39*100)</f>
        <v/>
      </c>
      <c r="G39" s="8">
        <f>B39/D39</f>
        <v/>
      </c>
      <c r="H39" s="9">
        <f>G39*100</f>
        <v/>
      </c>
      <c r="I39" s="9">
        <f>IF(F39="","",H39-F39)</f>
        <v/>
      </c>
      <c r="J39" s="9">
        <f>H39-H38</f>
        <v/>
      </c>
      <c r="K39" s="11">
        <f>(D39-D38)/D38*100</f>
        <v/>
      </c>
      <c r="L39" s="11">
        <f>(B39-B38)/B38*100</f>
        <v/>
      </c>
      <c r="M39" s="12">
        <f>IF(AND(K39&lt;=por_sk,L39&gt;=por_zaim),"оба",IF(K39&lt;=por_sk,"СК",IF(L39&gt;=por_zaim,"Займ","")))</f>
        <v/>
      </c>
    </row>
    <row r="40">
      <c r="A40" s="6" t="inlineStr">
        <is>
          <t>2026-07-01</t>
        </is>
      </c>
      <c r="B40" s="7" t="n">
        <v>448999.7</v>
      </c>
      <c r="C40" s="7" t="n"/>
      <c r="D40" s="7" t="n">
        <v>442346.331</v>
      </c>
      <c r="E40" s="8">
        <f>IF(C40="","",B40/C40)</f>
        <v/>
      </c>
      <c r="F40" s="9">
        <f>IF(E40="","",E40*100)</f>
        <v/>
      </c>
      <c r="G40" s="8">
        <f>B40/D40</f>
        <v/>
      </c>
      <c r="H40" s="9">
        <f>G40*100</f>
        <v/>
      </c>
      <c r="I40" s="9">
        <f>IF(F40="","",H40-F40)</f>
        <v/>
      </c>
      <c r="J40" s="9">
        <f>H40-H39</f>
        <v/>
      </c>
      <c r="K40" s="11">
        <f>(D40-D39)/D39*100</f>
        <v/>
      </c>
      <c r="L40" s="11">
        <f>(B40-B39)/B39*100</f>
        <v/>
      </c>
      <c r="M40" s="12">
        <f>IF(AND(K40&lt;=por_sk,L40&gt;=por_zaim),"оба",IF(K40&lt;=por_sk,"СК",IF(L40&gt;=por_zaim,"Займ","")))</f>
        <v/>
      </c>
    </row>
    <row r="42" ht="44" customHeight="1">
      <c r="A42" s="2" t="inlineStr">
        <is>
          <t>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</sheetData>
  <mergeCells count="2">
    <mergeCell ref="A2:M2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3" t="inlineStr">
        <is>
          <t>Параметр</t>
        </is>
      </c>
      <c r="B4" s="13" t="inlineStr">
        <is>
          <t>Обозначение</t>
        </is>
      </c>
      <c r="C4" s="13" t="inlineStr">
        <is>
          <t>Значение</t>
        </is>
      </c>
      <c r="D4" s="13" t="inlineStr">
        <is>
          <t>Формула</t>
        </is>
      </c>
      <c r="E4" s="13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6" t="inlineStr">
        <is>
          <t>p</t>
        </is>
      </c>
      <c r="C5" s="14" t="n">
        <v>0.9</v>
      </c>
      <c r="D5" s="15" t="inlineStr">
        <is>
          <t>ввод</t>
        </is>
      </c>
      <c r="E5" s="16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6" t="inlineStr">
        <is>
          <t>z(p)</t>
        </is>
      </c>
      <c r="C6" s="17">
        <f>NORMSINV(C5)</f>
        <v/>
      </c>
      <c r="D6" s="15" t="inlineStr">
        <is>
          <t>NORMSINV(p)</t>
        </is>
      </c>
      <c r="E6" s="16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6" t="inlineStr">
        <is>
          <t>k (Г26)</t>
        </is>
      </c>
      <c r="C7" s="18">
        <f>Ряд!D34/Ряд!C34</f>
        <v/>
      </c>
      <c r="D7" s="15" t="inlineStr">
        <is>
          <t>Ряд!D34/Ряд!C34</t>
        </is>
      </c>
      <c r="E7" s="16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6" t="inlineStr">
        <is>
          <t>L_рег</t>
        </is>
      </c>
      <c r="C8" s="14" t="n">
        <v>95</v>
      </c>
      <c r="D8" s="15" t="inlineStr">
        <is>
          <t>ввод</t>
        </is>
      </c>
      <c r="E8" s="16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6" t="inlineStr">
        <is>
          <t>T</t>
        </is>
      </c>
      <c r="C9" s="19" t="n">
        <v>3</v>
      </c>
      <c r="D9" s="15" t="inlineStr">
        <is>
          <t>ввод</t>
        </is>
      </c>
      <c r="E9" s="16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6" t="inlineStr">
        <is>
          <t>порог ΔСК</t>
        </is>
      </c>
      <c r="C10" s="20" t="n">
        <v>-3</v>
      </c>
      <c r="D10" s="15" t="inlineStr">
        <is>
          <t>ввод</t>
        </is>
      </c>
      <c r="E10" s="16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6" t="inlineStr">
        <is>
          <t>порог ΔЗайм</t>
        </is>
      </c>
      <c r="C11" s="20" t="n">
        <v>5</v>
      </c>
      <c r="D11" s="15" t="inlineStr">
        <is>
          <t>ввод</t>
        </is>
      </c>
      <c r="E11" s="16" t="inlineStr">
        <is>
          <t>Месячный рост задолженности топ-20, при котором наблюдение ускоряется</t>
        </is>
      </c>
    </row>
    <row r="13" ht="58" customHeight="1">
      <c r="A13" s="21" t="inlineStr">
        <is>
          <t>Из семи параметров вычисляются два: z из p и k из ряда. Остальные пять — чьи-то решения, и у каждого должен быть автор. У L_рег он есть (Приложение № 3), у T и двух порогов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5" t="inlineStr">
        <is>
          <t>STDEV(d)</t>
        </is>
      </c>
      <c r="D6" s="24">
        <f>STDEV(d)</f>
        <v/>
      </c>
      <c r="E6" s="16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5" t="inlineStr">
        <is>
          <t>STDEV(v)</t>
        </is>
      </c>
      <c r="D7" s="24">
        <f>STDEV(v)</f>
        <v/>
      </c>
      <c r="E7" s="16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5" t="inlineStr">
        <is>
          <t>Ряд!H40</t>
        </is>
      </c>
      <c r="D8" s="24">
        <f>Ряд!H40</f>
        <v/>
      </c>
      <c r="E8" s="16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5" t="inlineStr">
        <is>
          <t>MAX(v)</t>
        </is>
      </c>
      <c r="D9" s="24">
        <f>MAX(v)</f>
        <v/>
      </c>
      <c r="E9" s="16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5" t="inlineStr">
        <is>
          <t>COUNT(v)</t>
        </is>
      </c>
      <c r="D10" s="19">
        <f>COUNT(v)</f>
        <v/>
      </c>
      <c r="E10" s="16" t="inlineStr">
        <is>
          <t>DISCLOSURE § 1</t>
        </is>
      </c>
    </row>
    <row r="11">
      <c r="A11" s="22" t="inlineStr">
        <is>
          <t>2. Уровень</t>
        </is>
      </c>
      <c r="B11" s="23" t="n"/>
      <c r="C11" s="23" t="n"/>
      <c r="D11" s="23" t="n"/>
      <c r="E11" s="23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5" t="inlineStr">
        <is>
          <t>L_reg/k_G26</t>
        </is>
      </c>
      <c r="D12" s="24">
        <f>L_reg/k_G26</f>
        <v/>
      </c>
      <c r="E12" s="16" t="inlineStr">
        <is>
          <t>DISCLOSURE § 2.2</t>
        </is>
      </c>
    </row>
    <row r="13" ht="30" customHeight="1">
      <c r="A13" s="4" t="inlineStr">
        <is>
          <t>X — граница L − M(3) в процентах лимита</t>
        </is>
      </c>
      <c r="B13" s="4" t="inlineStr">
        <is>
          <t>1 − M(T)/L: доля лимита, на которой стоит жёлтая линия</t>
        </is>
      </c>
      <c r="C13" s="15" t="inlineStr">
        <is>
          <t>(1-D24/D12)*100</t>
        </is>
      </c>
      <c r="D13" s="24">
        <f>(1-D24/D12)*100</f>
        <v/>
      </c>
      <c r="E13" s="16" t="inlineStr">
        <is>
          <t>новое, 14.09.2026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5">
      <c r="A15" s="22" t="inlineStr">
        <is>
          <t>3. Запас на реагирование M(T) = z(p) · σ_Δ · √T и границы L − M(T)</t>
        </is>
      </c>
      <c r="B15" s="23" t="n"/>
      <c r="C15" s="23" t="n"/>
      <c r="D15" s="23" t="n"/>
      <c r="E15" s="23" t="n"/>
    </row>
    <row r="16" ht="30" customHeight="1">
      <c r="A16" s="4" t="inlineStr">
        <is>
          <t>Запас M(T) при T = 1</t>
        </is>
      </c>
      <c r="B16" s="4" t="inlineStr">
        <is>
          <t>z(p) × σ_Δ × корень из T</t>
        </is>
      </c>
      <c r="C16" s="15" t="inlineStr">
        <is>
          <t>z_p*D6*SQRT(1)</t>
        </is>
      </c>
      <c r="D16" s="24">
        <f>z_p*D6*SQRT(1)</f>
        <v/>
      </c>
      <c r="E16" s="16" t="inlineStr">
        <is>
          <t>DISCLOSURE § 2.3</t>
        </is>
      </c>
    </row>
    <row r="17" ht="30" customHeight="1">
      <c r="A17" s="4" t="inlineStr">
        <is>
          <t>Граница L − M(T) при T = 1</t>
        </is>
      </c>
      <c r="B17" s="4" t="inlineStr">
        <is>
          <t>L − M(T)</t>
        </is>
      </c>
      <c r="C17" s="15" t="inlineStr">
        <is>
          <t>D12-D16</t>
        </is>
      </c>
      <c r="D17" s="24">
        <f>D12-D16</f>
        <v/>
      </c>
      <c r="E17" s="16" t="inlineStr">
        <is>
          <t>DISCLOSURE § 2.3</t>
        </is>
      </c>
    </row>
    <row r="18" ht="30" customHeight="1">
      <c r="A18" s="4" t="inlineStr">
        <is>
          <t>Наблюдений выше границы, T = 1</t>
        </is>
      </c>
      <c r="B18" s="4" t="inlineStr">
        <is>
          <t>сколько точек ряда не ниже этой границы</t>
        </is>
      </c>
      <c r="C18" s="15" t="inlineStr">
        <is>
          <t>COUNTIF(v,"&gt;="&amp;D17)</t>
        </is>
      </c>
      <c r="D18" s="19">
        <f>COUNTIF(v,"&gt;="&amp;D17)</f>
        <v/>
      </c>
      <c r="E18" s="16" t="inlineStr">
        <is>
          <t>DISCLOSURE § 2.3, Р-Д3</t>
        </is>
      </c>
    </row>
    <row r="19" ht="30" customHeight="1">
      <c r="A19" s="4" t="inlineStr">
        <is>
          <t>Доля времени выше границы, T = 1</t>
        </is>
      </c>
      <c r="B19" s="4" t="inlineStr">
        <is>
          <t>их доля от 36 наблюдений</t>
        </is>
      </c>
      <c r="C19" s="15" t="inlineStr">
        <is>
          <t>COUNTIF(v,"&gt;="&amp;D17)/COUNT(v)*100</t>
        </is>
      </c>
      <c r="D19" s="20">
        <f>COUNTIF(v,"&gt;="&amp;D17)/COUNT(v)*100</f>
        <v/>
      </c>
      <c r="E19" s="16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z(p) × σ_Δ × корень из T</t>
        </is>
      </c>
      <c r="C20" s="15" t="inlineStr">
        <is>
          <t>z_p*D6*SQRT(2)</t>
        </is>
      </c>
      <c r="D20" s="24">
        <f>z_p*D6*SQRT(2)</f>
        <v/>
      </c>
      <c r="E20" s="16" t="inlineStr">
        <is>
          <t>DISCLOSURE § 2.3</t>
        </is>
      </c>
    </row>
    <row r="21" ht="30" customHeight="1">
      <c r="A21" s="4" t="inlineStr">
        <is>
          <t>Граница L − M(T) при T = 2</t>
        </is>
      </c>
      <c r="B21" s="4" t="inlineStr">
        <is>
          <t>L − M(T)</t>
        </is>
      </c>
      <c r="C21" s="15" t="inlineStr">
        <is>
          <t>D12-D20</t>
        </is>
      </c>
      <c r="D21" s="24">
        <f>D12-D20</f>
        <v/>
      </c>
      <c r="E21" s="16" t="inlineStr">
        <is>
          <t>DISCLOSURE § 2.3</t>
        </is>
      </c>
    </row>
    <row r="22" ht="30" customHeight="1">
      <c r="A22" s="4" t="inlineStr">
        <is>
          <t>Наблюдений выше границы, T = 2</t>
        </is>
      </c>
      <c r="B22" s="4" t="inlineStr">
        <is>
          <t>сколько точек ряда не ниже этой границы</t>
        </is>
      </c>
      <c r="C22" s="15" t="inlineStr">
        <is>
          <t>COUNTIF(v,"&gt;="&amp;D21)</t>
        </is>
      </c>
      <c r="D22" s="19">
        <f>COUNTIF(v,"&gt;="&amp;D21)</f>
        <v/>
      </c>
      <c r="E22" s="16" t="inlineStr">
        <is>
          <t>DISCLOSURE § 2.3, Р-Д3</t>
        </is>
      </c>
    </row>
    <row r="23" ht="30" customHeight="1">
      <c r="A23" s="4" t="inlineStr">
        <is>
          <t>Доля времени выше границы, T = 2</t>
        </is>
      </c>
      <c r="B23" s="4" t="inlineStr">
        <is>
          <t>их доля от 36 наблюдений</t>
        </is>
      </c>
      <c r="C23" s="15" t="inlineStr">
        <is>
          <t>COUNTIF(v,"&gt;="&amp;D21)/COUNT(v)*100</t>
        </is>
      </c>
      <c r="D23" s="20">
        <f>COUNTIF(v,"&gt;="&amp;D21)/COUNT(v)*100</f>
        <v/>
      </c>
      <c r="E23" s="16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z(p) × σ_Δ × корень из T</t>
        </is>
      </c>
      <c r="C24" s="15" t="inlineStr">
        <is>
          <t>z_p*D6*SQRT(3)</t>
        </is>
      </c>
      <c r="D24" s="24">
        <f>z_p*D6*SQRT(3)</f>
        <v/>
      </c>
      <c r="E24" s="16" t="inlineStr">
        <is>
          <t>DISCLOSURE § 2.3</t>
        </is>
      </c>
    </row>
    <row r="25" ht="30" customHeight="1">
      <c r="A25" s="4" t="inlineStr">
        <is>
          <t>Граница L − M(T) при T = 3</t>
        </is>
      </c>
      <c r="B25" s="4" t="inlineStr">
        <is>
          <t>L − M(T)</t>
        </is>
      </c>
      <c r="C25" s="15" t="inlineStr">
        <is>
          <t>D12-D24</t>
        </is>
      </c>
      <c r="D25" s="24">
        <f>D12-D24</f>
        <v/>
      </c>
      <c r="E25" s="16" t="inlineStr">
        <is>
          <t>DISCLOSURE § 2.3</t>
        </is>
      </c>
    </row>
    <row r="26" ht="30" customHeight="1">
      <c r="A26" s="4" t="inlineStr">
        <is>
          <t>Наблюдений выше границы, T = 3</t>
        </is>
      </c>
      <c r="B26" s="4" t="inlineStr">
        <is>
          <t>сколько точек ряда не ниже этой границы</t>
        </is>
      </c>
      <c r="C26" s="15" t="inlineStr">
        <is>
          <t>COUNTIF(v,"&gt;="&amp;D25)</t>
        </is>
      </c>
      <c r="D26" s="19">
        <f>COUNTIF(v,"&gt;="&amp;D25)</f>
        <v/>
      </c>
      <c r="E26" s="16" t="inlineStr">
        <is>
          <t>DISCLOSURE § 2.3, Р-Д3</t>
        </is>
      </c>
    </row>
    <row r="27" ht="30" customHeight="1">
      <c r="A27" s="4" t="inlineStr">
        <is>
          <t>Доля времени выше границы, T = 3</t>
        </is>
      </c>
      <c r="B27" s="4" t="inlineStr">
        <is>
          <t>их доля от 36 наблюдений</t>
        </is>
      </c>
      <c r="C27" s="15" t="inlineStr">
        <is>
          <t>COUNTIF(v,"&gt;="&amp;D25)/COUNT(v)*100</t>
        </is>
      </c>
      <c r="D27" s="20">
        <f>COUNTIF(v,"&gt;="&amp;D25)/COUNT(v)*100</f>
        <v/>
      </c>
      <c r="E27" s="16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z(p) × σ_Δ × корень из T</t>
        </is>
      </c>
      <c r="C28" s="15" t="inlineStr">
        <is>
          <t>z_p*D6*SQRT(4)</t>
        </is>
      </c>
      <c r="D28" s="24">
        <f>z_p*D6*SQRT(4)</f>
        <v/>
      </c>
      <c r="E28" s="16" t="inlineStr">
        <is>
          <t>DISCLOSURE § 2.3</t>
        </is>
      </c>
    </row>
    <row r="29" ht="30" customHeight="1">
      <c r="A29" s="4" t="inlineStr">
        <is>
          <t>Граница L − M(T) при T = 4</t>
        </is>
      </c>
      <c r="B29" s="4" t="inlineStr">
        <is>
          <t>L − M(T)</t>
        </is>
      </c>
      <c r="C29" s="15" t="inlineStr">
        <is>
          <t>D12-D28</t>
        </is>
      </c>
      <c r="D29" s="24">
        <f>D12-D28</f>
        <v/>
      </c>
      <c r="E29" s="16" t="inlineStr">
        <is>
          <t>DISCLOSURE § 2.3</t>
        </is>
      </c>
    </row>
    <row r="30" ht="30" customHeight="1">
      <c r="A30" s="4" t="inlineStr">
        <is>
          <t>Наблюдений выше границы, T = 4</t>
        </is>
      </c>
      <c r="B30" s="4" t="inlineStr">
        <is>
          <t>сколько точек ряда не ниже этой границы</t>
        </is>
      </c>
      <c r="C30" s="15" t="inlineStr">
        <is>
          <t>COUNTIF(v,"&gt;="&amp;D29)</t>
        </is>
      </c>
      <c r="D30" s="19">
        <f>COUNTIF(v,"&gt;="&amp;D29)</f>
        <v/>
      </c>
      <c r="E30" s="16" t="inlineStr">
        <is>
          <t>DISCLOSURE § 2.3, Р-Д3</t>
        </is>
      </c>
    </row>
    <row r="31" ht="30" customHeight="1">
      <c r="A31" s="4" t="inlineStr">
        <is>
          <t>Доля времени выше границы, T = 4</t>
        </is>
      </c>
      <c r="B31" s="4" t="inlineStr">
        <is>
          <t>их доля от 36 наблюдений</t>
        </is>
      </c>
      <c r="C31" s="15" t="inlineStr">
        <is>
          <t>COUNTIF(v,"&gt;="&amp;D29)/COUNT(v)*100</t>
        </is>
      </c>
      <c r="D31" s="20">
        <f>COUNTIF(v,"&gt;="&amp;D29)/COUNT(v)*100</f>
        <v/>
      </c>
      <c r="E31" s="16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3">
      <c r="A33" s="22" t="inlineStr">
        <is>
          <t>4. Квантили ряда (метод C). Линейная интерполяция между порядковыми статистиками</t>
        </is>
      </c>
      <c r="B33" s="23" t="n"/>
      <c r="C33" s="23" t="n"/>
      <c r="D33" s="23" t="n"/>
      <c r="E33" s="23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15" t="inlineStr">
        <is>
          <t>PERCENTILE(v,0.85)</t>
        </is>
      </c>
      <c r="D34" s="24">
        <f>PERCENTILE(v,0.85)</f>
        <v/>
      </c>
      <c r="E34" s="16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15" t="inlineStr">
        <is>
          <t>PERCENTILE(v,0.90)</t>
        </is>
      </c>
      <c r="D35" s="24">
        <f>PERCENTILE(v,0.90)</f>
        <v/>
      </c>
      <c r="E35" s="16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15" t="inlineStr">
        <is>
          <t>PERCENTILE(v,0.95)</t>
        </is>
      </c>
      <c r="D36" s="24">
        <f>PERCENTILE(v,0.95)</f>
        <v/>
      </c>
      <c r="E36" s="16" t="inlineStr">
        <is>
          <t>DISCLOSURE § 2.5</t>
        </is>
      </c>
    </row>
    <row r="37">
      <c r="A37" s="22" t="inlineStr">
        <is>
          <t>5. Два независимых пути к одному уровню</t>
        </is>
      </c>
      <c r="B37" s="23" t="n"/>
      <c r="C37" s="23" t="n"/>
      <c r="D37" s="23" t="n"/>
      <c r="E37" s="23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15" t="inlineStr">
        <is>
          <t>D35+D24</t>
        </is>
      </c>
      <c r="D38" s="24">
        <f>D35+D24</f>
        <v/>
      </c>
      <c r="E38" s="16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15" t="inlineStr">
        <is>
          <t>D12-D38</t>
        </is>
      </c>
      <c r="D39" s="24">
        <f>D12-D38</f>
        <v/>
      </c>
      <c r="E39" s="16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2" t="inlineStr">
        <is>
          <t>6. Производные метрики</t>
        </is>
      </c>
      <c r="B41" s="23" t="n"/>
      <c r="C41" s="23" t="n"/>
      <c r="D41" s="23" t="n"/>
      <c r="E41" s="23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15" t="inlineStr">
        <is>
          <t>(D12-D8)/D6</t>
        </is>
      </c>
      <c r="D42" s="25">
        <f>(D12-D8)/D6</f>
        <v/>
      </c>
      <c r="E42" s="16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15" t="inlineStr">
        <is>
          <t>(L_reg-D8)/D6</t>
        </is>
      </c>
      <c r="D43" s="25">
        <f>(L_reg-D8)/D6</f>
        <v/>
      </c>
      <c r="E43" s="16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15" t="inlineStr">
        <is>
          <t>(D8/D12-1)*100</t>
        </is>
      </c>
      <c r="D44" s="14">
        <f>(D8/D12-1)*100</f>
        <v/>
      </c>
      <c r="E44" s="16" t="inlineStr">
        <is>
          <t>DISCLOSURE § 2.6</t>
        </is>
      </c>
    </row>
    <row r="45" ht="30" customHeight="1">
      <c r="A45" s="4" t="inlineStr">
        <is>
          <t>T* — остаток времени до лимита, мес.</t>
        </is>
      </c>
      <c r="B45" s="4" t="inlineStr">
        <is>
          <t>сколько месяцев до лимита при доверии p: ((L − v) / (z·σ_Δ))²</t>
        </is>
      </c>
      <c r="C45" s="15" t="inlineStr">
        <is>
          <t>((D12-D8)/(z_p*D6))^2</t>
        </is>
      </c>
      <c r="D45" s="24">
        <f>((D12-D8)/(z_p*D6))^2</f>
        <v/>
      </c>
      <c r="E45" s="16" t="inlineStr">
        <is>
          <t>новое, 14.09.2026</t>
        </is>
      </c>
    </row>
    <row r="46" ht="30" customHeight="1">
      <c r="A46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7">
      <c r="A47" s="22" t="inlineStr">
        <is>
          <t>7. Цена решения «уровень не трогаем»: обратный счёт при L = 95</t>
        </is>
      </c>
      <c r="B47" s="23" t="n"/>
      <c r="C47" s="23" t="n"/>
      <c r="D47" s="23" t="n"/>
      <c r="E47" s="23" t="n"/>
    </row>
    <row r="48" ht="30" customHeight="1">
      <c r="A48" s="4" t="inlineStr">
        <is>
          <t>Жёлтая линия при L = 95</t>
        </is>
      </c>
      <c r="B48" s="4" t="inlineStr">
        <is>
          <t>95 − M(3)</t>
        </is>
      </c>
      <c r="C48" s="15" t="inlineStr">
        <is>
          <t>L_reg-D24</t>
        </is>
      </c>
      <c r="D48" s="24">
        <f>L_reg-D24</f>
        <v/>
      </c>
      <c r="E48" s="16" t="inlineStr">
        <is>
          <t>DISCLOSURE § 2.6</t>
        </is>
      </c>
    </row>
    <row r="49" ht="30" customHeight="1">
      <c r="A49" s="4" t="inlineStr">
        <is>
          <t>Наблюдений выше неё</t>
        </is>
      </c>
      <c r="B49" s="4" t="inlineStr">
        <is>
          <t>сколько точек ряда не ниже 85,97</t>
        </is>
      </c>
      <c r="C49" s="15" t="inlineStr">
        <is>
          <t>COUNTIF(v,"&gt;="&amp;D48)</t>
        </is>
      </c>
      <c r="D49" s="19">
        <f>COUNTIF(v,"&gt;="&amp;D48)</f>
        <v/>
      </c>
      <c r="E49" s="16" t="inlineStr">
        <is>
          <t>DISCLOSURE § 2.6</t>
        </is>
      </c>
    </row>
    <row r="50" ht="30" customHeight="1">
      <c r="A50" s="4" t="inlineStr">
        <is>
          <t>Доля времени выше неё</t>
        </is>
      </c>
      <c r="B50" s="4" t="inlineStr">
        <is>
          <t>их доля от 36 наблюдений</t>
        </is>
      </c>
      <c r="C50" s="15" t="inlineStr">
        <is>
          <t>COUNTIF(v,"&gt;="&amp;D48)/COUNT(v)*100</t>
        </is>
      </c>
      <c r="D50" s="20">
        <f>COUNTIF(v,"&gt;="&amp;D48)/COUNT(v)*100</f>
        <v/>
      </c>
      <c r="E50" s="16" t="inlineStr">
        <is>
          <t>DISCLOSURE § 2.6</t>
        </is>
      </c>
    </row>
    <row r="51" ht="30" customHeight="1">
      <c r="A51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</sheetData>
  <mergeCells count="6">
    <mergeCell ref="A2:E2"/>
    <mergeCell ref="A51:E51"/>
    <mergeCell ref="A46:E46"/>
    <mergeCell ref="A32:E32"/>
    <mergeCell ref="A14:E14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Обоснование формулы M(T) = z(p) · σ_Δ · √T</t>
        </is>
      </c>
    </row>
    <row r="2" ht="42" customHeight="1">
      <c r="A2" s="2" t="inlineStr">
        <is>
          <t>Формула держится на трёх допущениях: приросты независимы (отсюда √T), распределение суммы близко к нормальному (отсюда z), дрейфа нет. Ниже каждое проверено на нашем же ряде. Колонки J–N — служебные: T-месячные изменения, по которым считаются проверки.</t>
        </is>
      </c>
    </row>
    <row r="4" ht="30" customHeight="1">
      <c r="A4" s="5" t="inlineStr">
        <is>
          <t>Проверка</t>
        </is>
      </c>
      <c r="B4" s="5" t="inlineStr">
        <is>
          <t>Что именно проверяется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Как читать</t>
        </is>
      </c>
      <c r="G4" s="5" t="inlineStr">
        <is>
          <t>Изменение за 1 мес.</t>
        </is>
      </c>
      <c r="H4" s="5" t="inlineStr">
        <is>
          <t>Изменение за 2 мес.</t>
        </is>
      </c>
      <c r="I4" s="5" t="inlineStr">
        <is>
          <t>Изменение за 3 мес.</t>
        </is>
      </c>
      <c r="J4" s="5" t="inlineStr">
        <is>
          <t>Изменение за 4 мес.</t>
        </is>
      </c>
      <c r="K4" s="5" t="inlineStr">
        <is>
          <t>Изменение за 6 мес.</t>
        </is>
      </c>
    </row>
    <row r="5">
      <c r="A5" s="22" t="inlineStr">
        <is>
          <t>1. Независимость приростов — единственное, на чём держится √T</t>
        </is>
      </c>
      <c r="B5" s="23" t="n"/>
      <c r="C5" s="23" t="n"/>
      <c r="D5" s="23" t="n"/>
      <c r="E5" s="23" t="n"/>
      <c r="G5" s="26">
        <f>Ряд!H6-Ряд!H5</f>
        <v/>
      </c>
      <c r="H5" s="26">
        <f>Ряд!H7-Ряд!H5</f>
        <v/>
      </c>
      <c r="I5" s="26">
        <f>Ряд!H8-Ряд!H5</f>
        <v/>
      </c>
      <c r="J5" s="26">
        <f>Ряд!H9-Ряд!H5</f>
        <v/>
      </c>
      <c r="K5" s="26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5" t="inlineStr">
        <is>
          <t>CORREL(Ряд!J7:J40,Ряд!J6:J39)</t>
        </is>
      </c>
      <c r="D6" s="24">
        <f>CORREL(Ряд!J7:J40,Ряд!J6:J39)</f>
        <v/>
      </c>
      <c r="E6" s="16" t="inlineStr">
        <is>
          <t>новое, 14.09.2026</t>
        </is>
      </c>
      <c r="G6" s="26">
        <f>Ряд!H7-Ряд!H6</f>
        <v/>
      </c>
      <c r="H6" s="26">
        <f>Ряд!H8-Ряд!H6</f>
        <v/>
      </c>
      <c r="I6" s="26">
        <f>Ряд!H9-Ряд!H6</f>
        <v/>
      </c>
      <c r="J6" s="26">
        <f>Ряд!H10-Ряд!H6</f>
        <v/>
      </c>
      <c r="K6" s="26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5" t="inlineStr">
        <is>
          <t>2/SQRT(COUNT(d))</t>
        </is>
      </c>
      <c r="D7" s="24">
        <f>2/SQRT(COUNT(d))</f>
        <v/>
      </c>
      <c r="E7" s="16" t="inlineStr">
        <is>
          <t>новое</t>
        </is>
      </c>
      <c r="G7" s="26">
        <f>Ряд!H8-Ряд!H7</f>
        <v/>
      </c>
      <c r="H7" s="26">
        <f>Ряд!H9-Ряд!H7</f>
        <v/>
      </c>
      <c r="I7" s="26">
        <f>Ряд!H10-Ряд!H7</f>
        <v/>
      </c>
      <c r="J7" s="26">
        <f>Ряд!H11-Ряд!H7</f>
        <v/>
      </c>
      <c r="K7" s="26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G8" s="26">
        <f>Ряд!H9-Ряд!H8</f>
        <v/>
      </c>
      <c r="H8" s="26">
        <f>Ряд!H10-Ряд!H8</f>
        <v/>
      </c>
      <c r="I8" s="26">
        <f>Ряд!H11-Ряд!H8</f>
        <v/>
      </c>
      <c r="J8" s="26">
        <f>Ряд!H12-Ряд!H8</f>
        <v/>
      </c>
      <c r="K8" s="26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5" t="inlineStr">
        <is>
          <t>STDEV($G$5:$G$39)</t>
        </is>
      </c>
      <c r="D9" s="24">
        <f>STDEV($G$5:$G$39)</f>
        <v/>
      </c>
      <c r="E9" s="16" t="inlineStr">
        <is>
          <t>новое</t>
        </is>
      </c>
      <c r="G9" s="26">
        <f>Ряд!H10-Ряд!H9</f>
        <v/>
      </c>
      <c r="H9" s="26">
        <f>Ряд!H11-Ряд!H9</f>
        <v/>
      </c>
      <c r="I9" s="26">
        <f>Ряд!H12-Ряд!H9</f>
        <v/>
      </c>
      <c r="J9" s="26">
        <f>Ряд!H13-Ряд!H9</f>
        <v/>
      </c>
      <c r="K9" s="26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5" t="inlineStr">
        <is>
          <t>D9/('Расчёт'!D6*SQRT(1))</t>
        </is>
      </c>
      <c r="D10" s="24">
        <f>D9/('Расчёт'!D6*SQRT(1))</f>
        <v/>
      </c>
      <c r="E10" s="16" t="inlineStr">
        <is>
          <t>новое</t>
        </is>
      </c>
      <c r="G10" s="26">
        <f>Ряд!H11-Ряд!H10</f>
        <v/>
      </c>
      <c r="H10" s="26">
        <f>Ряд!H12-Ряд!H10</f>
        <v/>
      </c>
      <c r="I10" s="26">
        <f>Ряд!H13-Ряд!H10</f>
        <v/>
      </c>
      <c r="J10" s="26">
        <f>Ряд!H14-Ряд!H10</f>
        <v/>
      </c>
      <c r="K10" s="26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5" t="inlineStr">
        <is>
          <t>STDEV($H$5:$H$38)</t>
        </is>
      </c>
      <c r="D11" s="24">
        <f>STDEV($H$5:$H$38)</f>
        <v/>
      </c>
      <c r="E11" s="16" t="inlineStr">
        <is>
          <t>новое</t>
        </is>
      </c>
      <c r="G11" s="26">
        <f>Ряд!H12-Ряд!H11</f>
        <v/>
      </c>
      <c r="H11" s="26">
        <f>Ряд!H13-Ряд!H11</f>
        <v/>
      </c>
      <c r="I11" s="26">
        <f>Ряд!H14-Ряд!H11</f>
        <v/>
      </c>
      <c r="J11" s="26">
        <f>Ряд!H15-Ряд!H11</f>
        <v/>
      </c>
      <c r="K11" s="26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5" t="inlineStr">
        <is>
          <t>D11/('Расчёт'!D6*SQRT(2))</t>
        </is>
      </c>
      <c r="D12" s="24">
        <f>D11/('Расчёт'!D6*SQRT(2))</f>
        <v/>
      </c>
      <c r="E12" s="16" t="inlineStr">
        <is>
          <t>новое</t>
        </is>
      </c>
      <c r="G12" s="26">
        <f>Ряд!H13-Ряд!H12</f>
        <v/>
      </c>
      <c r="H12" s="26">
        <f>Ряд!H14-Ряд!H12</f>
        <v/>
      </c>
      <c r="I12" s="26">
        <f>Ряд!H15-Ряд!H12</f>
        <v/>
      </c>
      <c r="J12" s="26">
        <f>Ряд!H16-Ряд!H12</f>
        <v/>
      </c>
      <c r="K12" s="26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5" t="inlineStr">
        <is>
          <t>STDEV($I$5:$I$37)</t>
        </is>
      </c>
      <c r="D13" s="24">
        <f>STDEV($I$5:$I$37)</f>
        <v/>
      </c>
      <c r="E13" s="16" t="inlineStr">
        <is>
          <t>новое</t>
        </is>
      </c>
      <c r="G13" s="26">
        <f>Ряд!H14-Ряд!H13</f>
        <v/>
      </c>
      <c r="H13" s="26">
        <f>Ряд!H15-Ряд!H13</f>
        <v/>
      </c>
      <c r="I13" s="26">
        <f>Ряд!H16-Ряд!H13</f>
        <v/>
      </c>
      <c r="J13" s="26">
        <f>Ряд!H17-Ряд!H13</f>
        <v/>
      </c>
      <c r="K13" s="26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5" t="inlineStr">
        <is>
          <t>D13/('Расчёт'!D6*SQRT(3))</t>
        </is>
      </c>
      <c r="D14" s="24">
        <f>D13/('Расчёт'!D6*SQRT(3))</f>
        <v/>
      </c>
      <c r="E14" s="16" t="inlineStr">
        <is>
          <t>новое</t>
        </is>
      </c>
      <c r="G14" s="26">
        <f>Ряд!H15-Ряд!H14</f>
        <v/>
      </c>
      <c r="H14" s="26">
        <f>Ряд!H16-Ряд!H14</f>
        <v/>
      </c>
      <c r="I14" s="26">
        <f>Ряд!H17-Ряд!H14</f>
        <v/>
      </c>
      <c r="J14" s="26">
        <f>Ряд!H18-Ряд!H14</f>
        <v/>
      </c>
      <c r="K14" s="26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5" t="inlineStr">
        <is>
          <t>STDEV($J$5:$J$36)</t>
        </is>
      </c>
      <c r="D15" s="24">
        <f>STDEV($J$5:$J$36)</f>
        <v/>
      </c>
      <c r="E15" s="16" t="inlineStr">
        <is>
          <t>новое</t>
        </is>
      </c>
      <c r="G15" s="26">
        <f>Ряд!H16-Ряд!H15</f>
        <v/>
      </c>
      <c r="H15" s="26">
        <f>Ряд!H17-Ряд!H15</f>
        <v/>
      </c>
      <c r="I15" s="26">
        <f>Ряд!H18-Ряд!H15</f>
        <v/>
      </c>
      <c r="J15" s="26">
        <f>Ряд!H19-Ряд!H15</f>
        <v/>
      </c>
      <c r="K15" s="26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5" t="inlineStr">
        <is>
          <t>D15/('Расчёт'!D6*SQRT(4))</t>
        </is>
      </c>
      <c r="D16" s="24">
        <f>D15/('Расчёт'!D6*SQRT(4))</f>
        <v/>
      </c>
      <c r="E16" s="16" t="inlineStr">
        <is>
          <t>новое</t>
        </is>
      </c>
      <c r="G16" s="26">
        <f>Ряд!H17-Ряд!H16</f>
        <v/>
      </c>
      <c r="H16" s="26">
        <f>Ряд!H18-Ряд!H16</f>
        <v/>
      </c>
      <c r="I16" s="26">
        <f>Ряд!H19-Ряд!H16</f>
        <v/>
      </c>
      <c r="J16" s="26">
        <f>Ряд!H20-Ряд!H16</f>
        <v/>
      </c>
      <c r="K16" s="26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5" t="inlineStr">
        <is>
          <t>STDEV($K$5:$K$34)</t>
        </is>
      </c>
      <c r="D17" s="24">
        <f>STDEV($K$5:$K$34)</f>
        <v/>
      </c>
      <c r="E17" s="16" t="inlineStr">
        <is>
          <t>новое</t>
        </is>
      </c>
      <c r="G17" s="26">
        <f>Ряд!H18-Ряд!H17</f>
        <v/>
      </c>
      <c r="H17" s="26">
        <f>Ряд!H19-Ряд!H17</f>
        <v/>
      </c>
      <c r="I17" s="26">
        <f>Ряд!H20-Ряд!H17</f>
        <v/>
      </c>
      <c r="J17" s="26">
        <f>Ряд!H21-Ряд!H17</f>
        <v/>
      </c>
      <c r="K17" s="26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5" t="inlineStr">
        <is>
          <t>D17/('Расчёт'!D6*SQRT(6))</t>
        </is>
      </c>
      <c r="D18" s="24">
        <f>D17/('Расчёт'!D6*SQRT(6))</f>
        <v/>
      </c>
      <c r="E18" s="16" t="inlineStr">
        <is>
          <t>новое</t>
        </is>
      </c>
      <c r="G18" s="26">
        <f>Ряд!H19-Ряд!H18</f>
        <v/>
      </c>
      <c r="H18" s="26">
        <f>Ряд!H20-Ряд!H18</f>
        <v/>
      </c>
      <c r="I18" s="26">
        <f>Ряд!H21-Ряд!H18</f>
        <v/>
      </c>
      <c r="J18" s="26">
        <f>Ряд!H22-Ряд!H18</f>
        <v/>
      </c>
      <c r="K18" s="26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G19" s="26">
        <f>Ряд!H20-Ряд!H19</f>
        <v/>
      </c>
      <c r="H19" s="26">
        <f>Ряд!H21-Ряд!H19</f>
        <v/>
      </c>
      <c r="I19" s="26">
        <f>Ряд!H22-Ряд!H19</f>
        <v/>
      </c>
      <c r="J19" s="26">
        <f>Ряд!H23-Ряд!H19</f>
        <v/>
      </c>
      <c r="K19" s="26">
        <f>Ряд!H25-Ряд!H19</f>
        <v/>
      </c>
    </row>
    <row r="20">
      <c r="A20" s="22" t="inlineStr">
        <is>
          <t>2. Нормальность — и почему нужна не та, о которой спрашивают</t>
        </is>
      </c>
      <c r="B20" s="23" t="n"/>
      <c r="C20" s="23" t="n"/>
      <c r="D20" s="23" t="n"/>
      <c r="E20" s="23" t="n"/>
      <c r="G20" s="26">
        <f>Ряд!H21-Ряд!H20</f>
        <v/>
      </c>
      <c r="H20" s="26">
        <f>Ряд!H22-Ряд!H20</f>
        <v/>
      </c>
      <c r="I20" s="26">
        <f>Ряд!H23-Ряд!H20</f>
        <v/>
      </c>
      <c r="J20" s="26">
        <f>Ряд!H24-Ряд!H20</f>
        <v/>
      </c>
      <c r="K20" s="26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5" t="inlineStr">
        <is>
          <t>(SUMPRODUCT((d-AVERAGE(d))^3)/COUNT(d))/(SUMPRODUCT((d-AVERAGE(d))^2)/COUNT(d))^1.5</t>
        </is>
      </c>
      <c r="D21" s="24">
        <f>(SUMPRODUCT((d-AVERAGE(d))^3)/COUNT(d))/(SUMPRODUCT((d-AVERAGE(d))^2)/COUNT(d))^1.5</f>
        <v/>
      </c>
      <c r="E21" s="16" t="inlineStr">
        <is>
          <t>новое</t>
        </is>
      </c>
      <c r="G21" s="26">
        <f>Ряд!H22-Ряд!H21</f>
        <v/>
      </c>
      <c r="H21" s="26">
        <f>Ряд!H23-Ряд!H21</f>
        <v/>
      </c>
      <c r="I21" s="26">
        <f>Ряд!H24-Ряд!H21</f>
        <v/>
      </c>
      <c r="J21" s="26">
        <f>Ряд!H25-Ряд!H21</f>
        <v/>
      </c>
      <c r="K21" s="26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5" t="inlineStr">
        <is>
          <t>(SUMPRODUCT((d-AVERAGE(d))^4)/COUNT(d))/(SUMPRODUCT((d-AVERAGE(d))^2)/COUNT(d))^2-3</t>
        </is>
      </c>
      <c r="D22" s="24">
        <f>(SUMPRODUCT((d-AVERAGE(d))^4)/COUNT(d))/(SUMPRODUCT((d-AVERAGE(d))^2)/COUNT(d))^2-3</f>
        <v/>
      </c>
      <c r="E22" s="16" t="inlineStr">
        <is>
          <t>новое</t>
        </is>
      </c>
      <c r="G22" s="26">
        <f>Ряд!H23-Ряд!H22</f>
        <v/>
      </c>
      <c r="H22" s="26">
        <f>Ряд!H24-Ряд!H22</f>
        <v/>
      </c>
      <c r="I22" s="26">
        <f>Ряд!H25-Ряд!H22</f>
        <v/>
      </c>
      <c r="J22" s="26">
        <f>Ряд!H26-Ряд!H22</f>
        <v/>
      </c>
      <c r="K22" s="26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5" t="inlineStr">
        <is>
          <t>COUNT(d)/6*(D21^2+D22^2/4)</t>
        </is>
      </c>
      <c r="D23" s="24">
        <f>COUNT(d)/6*(D21^2+D22^2/4)</f>
        <v/>
      </c>
      <c r="E23" s="16" t="inlineStr">
        <is>
          <t>новое</t>
        </is>
      </c>
      <c r="G23" s="26">
        <f>Ряд!H24-Ряд!H23</f>
        <v/>
      </c>
      <c r="H23" s="26">
        <f>Ряд!H25-Ряд!H23</f>
        <v/>
      </c>
      <c r="I23" s="26">
        <f>Ряд!H26-Ряд!H23</f>
        <v/>
      </c>
      <c r="J23" s="26">
        <f>Ряд!H27-Ряд!H23</f>
        <v/>
      </c>
      <c r="K23" s="26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5" t="inlineStr">
        <is>
          <t>5.991</t>
        </is>
      </c>
      <c r="D24" s="25">
        <f>5.991</f>
        <v/>
      </c>
      <c r="E24" s="16" t="inlineStr">
        <is>
          <t>статистическая таблица</t>
        </is>
      </c>
      <c r="G24" s="26">
        <f>Ряд!H25-Ряд!H24</f>
        <v/>
      </c>
      <c r="H24" s="26">
        <f>Ряд!H26-Ряд!H24</f>
        <v/>
      </c>
      <c r="I24" s="26">
        <f>Ряд!H27-Ряд!H24</f>
        <v/>
      </c>
      <c r="J24" s="26">
        <f>Ряд!H28-Ряд!H24</f>
        <v/>
      </c>
      <c r="K24" s="26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5" t="inlineStr">
        <is>
          <t>(SUMPRODUCT(($I$5:$I$37-AVERAGE($I$5:$I$37))^3)/COUNT($I$5:$I$37))/(SUMPRODUCT(($I$5:$I$37-AVERAGE($I$5:$I$37))^2)/COUNT($I$5:$I$37))^1.5</t>
        </is>
      </c>
      <c r="D25" s="24">
        <f>(SUMPRODUCT(($I$5:$I$37-AVERAGE($I$5:$I$37))^3)/COUNT($I$5:$I$37))/(SUMPRODUCT(($I$5:$I$37-AVERAGE($I$5:$I$37))^2)/COUNT($I$5:$I$37))^1.5</f>
        <v/>
      </c>
      <c r="E25" s="16" t="inlineStr">
        <is>
          <t>новое</t>
        </is>
      </c>
      <c r="G25" s="26">
        <f>Ряд!H26-Ряд!H25</f>
        <v/>
      </c>
      <c r="H25" s="26">
        <f>Ряд!H27-Ряд!H25</f>
        <v/>
      </c>
      <c r="I25" s="26">
        <f>Ряд!H28-Ряд!H25</f>
        <v/>
      </c>
      <c r="J25" s="26">
        <f>Ряд!H29-Ряд!H25</f>
        <v/>
      </c>
      <c r="K25" s="26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5" t="inlineStr">
        <is>
          <t>(SUMPRODUCT(($I$5:$I$37-AVERAGE($I$5:$I$37))^4)/COUNT($I$5:$I$37))/(SUMPRODUCT(($I$5:$I$37-AVERAGE($I$5:$I$37))^2)/COUNT($I$5:$I$37))^2-3</t>
        </is>
      </c>
      <c r="D26" s="24">
        <f>(SUMPRODUCT(($I$5:$I$37-AVERAGE($I$5:$I$37))^4)/COUNT($I$5:$I$37))/(SUMPRODUCT(($I$5:$I$37-AVERAGE($I$5:$I$37))^2)/COUNT($I$5:$I$37))^2-3</f>
        <v/>
      </c>
      <c r="E26" s="16" t="inlineStr">
        <is>
          <t>новое</t>
        </is>
      </c>
      <c r="G26" s="26">
        <f>Ряд!H27-Ряд!H26</f>
        <v/>
      </c>
      <c r="H26" s="26">
        <f>Ряд!H28-Ряд!H26</f>
        <v/>
      </c>
      <c r="I26" s="26">
        <f>Ряд!H29-Ряд!H26</f>
        <v/>
      </c>
      <c r="J26" s="26">
        <f>Ряд!H30-Ряд!H26</f>
        <v/>
      </c>
      <c r="K26" s="26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5" t="inlineStr">
        <is>
          <t>COUNT($I$5:$I$37)/6*(D25^2+D26^2/4)</t>
        </is>
      </c>
      <c r="D27" s="24">
        <f>COUNT($I$5:$I$37)/6*(D25^2+D26^2/4)</f>
        <v/>
      </c>
      <c r="E27" s="16" t="inlineStr">
        <is>
          <t>новое</t>
        </is>
      </c>
      <c r="G27" s="26">
        <f>Ряд!H28-Ряд!H27</f>
        <v/>
      </c>
      <c r="H27" s="26">
        <f>Ряд!H29-Ряд!H27</f>
        <v/>
      </c>
      <c r="I27" s="26">
        <f>Ряд!H30-Ряд!H27</f>
        <v/>
      </c>
      <c r="J27" s="26">
        <f>Ряд!H31-Ряд!H27</f>
        <v/>
      </c>
      <c r="K27" s="26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5" t="inlineStr">
        <is>
          <t>D21/SQRT(3)</t>
        </is>
      </c>
      <c r="D28" s="24">
        <f>D21/SQRT(3)</f>
        <v/>
      </c>
      <c r="E28" s="16" t="inlineStr">
        <is>
          <t>новое</t>
        </is>
      </c>
      <c r="G28" s="26">
        <f>Ряд!H29-Ряд!H28</f>
        <v/>
      </c>
      <c r="H28" s="26">
        <f>Ряд!H30-Ряд!H28</f>
        <v/>
      </c>
      <c r="I28" s="26">
        <f>Ряд!H31-Ряд!H28</f>
        <v/>
      </c>
      <c r="J28" s="26">
        <f>Ряд!H32-Ряд!H28</f>
        <v/>
      </c>
      <c r="K28" s="26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G29" s="26">
        <f>Ряд!H30-Ряд!H29</f>
        <v/>
      </c>
      <c r="H29" s="26">
        <f>Ряд!H31-Ряд!H29</f>
        <v/>
      </c>
      <c r="I29" s="26">
        <f>Ряд!H32-Ряд!H29</f>
        <v/>
      </c>
      <c r="J29" s="26">
        <f>Ряд!H33-Ряд!H29</f>
        <v/>
      </c>
      <c r="K29" s="26">
        <f>Ряд!H35-Ряд!H29</f>
        <v/>
      </c>
    </row>
    <row r="30">
      <c r="A30" s="22" t="inlineStr">
        <is>
          <t>3. Буфер M(3) четырьмя независимыми способами</t>
        </is>
      </c>
      <c r="B30" s="23" t="n"/>
      <c r="C30" s="23" t="n"/>
      <c r="D30" s="23" t="n"/>
      <c r="E30" s="23" t="n"/>
      <c r="G30" s="26">
        <f>Ряд!H31-Ряд!H30</f>
        <v/>
      </c>
      <c r="H30" s="26">
        <f>Ряд!H32-Ряд!H30</f>
        <v/>
      </c>
      <c r="I30" s="26">
        <f>Ряд!H33-Ряд!H30</f>
        <v/>
      </c>
      <c r="J30" s="26">
        <f>Ряд!H34-Ряд!H30</f>
        <v/>
      </c>
      <c r="K30" s="26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5" t="inlineStr">
        <is>
          <t>z_p*'Расчёт'!D6*SQRT(3)</t>
        </is>
      </c>
      <c r="D31" s="24">
        <f>z_p*'Расчёт'!D6*SQRT(3)</f>
        <v/>
      </c>
      <c r="E31" s="16" t="inlineStr">
        <is>
          <t>DISCLOSURE § 2.3</t>
        </is>
      </c>
      <c r="G31" s="26">
        <f>Ряд!H32-Ряд!H31</f>
        <v/>
      </c>
      <c r="H31" s="26">
        <f>Ряд!H33-Ряд!H31</f>
        <v/>
      </c>
      <c r="I31" s="26">
        <f>Ряд!H34-Ряд!H31</f>
        <v/>
      </c>
      <c r="J31" s="26">
        <f>Ряд!H35-Ряд!H31</f>
        <v/>
      </c>
      <c r="K31" s="26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5" t="inlineStr">
        <is>
          <t>PERCENTILE($I$5:$I$37,p_conf)</t>
        </is>
      </c>
      <c r="D32" s="24">
        <f>PERCENTILE($I$5:$I$37,p_conf)</f>
        <v/>
      </c>
      <c r="E32" s="16" t="inlineStr">
        <is>
          <t>новое</t>
        </is>
      </c>
      <c r="G32" s="26">
        <f>Ряд!H33-Ряд!H32</f>
        <v/>
      </c>
      <c r="H32" s="26">
        <f>Ряд!H34-Ряд!H32</f>
        <v/>
      </c>
      <c r="I32" s="26">
        <f>Ряд!H35-Ряд!H32</f>
        <v/>
      </c>
      <c r="J32" s="26">
        <f>Ряд!H36-Ряд!H32</f>
        <v/>
      </c>
      <c r="K32" s="26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5" t="inlineStr">
        <is>
          <t>(z_p+(z_p^2-1)/6*D21/SQRT(3)+(z_p^3-3*z_p)/24*D22/3-(2*z_p^3-5*z_p)/36*(D21/SQRT(3))^2)*'Расчёт'!D6*SQRT(3)</t>
        </is>
      </c>
      <c r="D33" s="24">
        <f>(z_p+(z_p^2-1)/6*D21/SQRT(3)+(z_p^3-3*z_p)/24*D22/3-(2*z_p^3-5*z_p)/36*(D21/SQRT(3))^2)*'Расчёт'!D6*SQRT(3)</f>
        <v/>
      </c>
      <c r="E33" s="16" t="inlineStr">
        <is>
          <t>новое</t>
        </is>
      </c>
      <c r="G33" s="26">
        <f>Ряд!H34-Ряд!H33</f>
        <v/>
      </c>
      <c r="H33" s="26">
        <f>Ряд!H35-Ряд!H33</f>
        <v/>
      </c>
      <c r="I33" s="26">
        <f>Ряд!H36-Ряд!H33</f>
        <v/>
      </c>
      <c r="J33" s="26">
        <f>Ряд!H37-Ряд!H33</f>
        <v/>
      </c>
      <c r="K33" s="26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5" t="inlineStr">
        <is>
          <t>MAX(D31,D32,D33)/MIN(D31,D32,D33)*100-100</t>
        </is>
      </c>
      <c r="D34" s="24">
        <f>MAX(D31,D32,D33)/MIN(D31,D32,D33)*100-100</f>
        <v/>
      </c>
      <c r="E34" s="16" t="inlineStr">
        <is>
          <t>новое</t>
        </is>
      </c>
      <c r="G34" s="26">
        <f>Ряд!H35-Ряд!H34</f>
        <v/>
      </c>
      <c r="H34" s="26">
        <f>Ряд!H36-Ряд!H34</f>
        <v/>
      </c>
      <c r="I34" s="26">
        <f>Ряд!H37-Ряд!H34</f>
        <v/>
      </c>
      <c r="J34" s="26">
        <f>Ряд!H38-Ряд!H34</f>
        <v/>
      </c>
      <c r="K34" s="26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5" t="inlineStr">
        <is>
          <t>'Расчёт'!D6/SQRT(2*(COUNT(d)-1))</t>
        </is>
      </c>
      <c r="D35" s="24">
        <f>'Расчёт'!D6/SQRT(2*(COUNT(d)-1))</f>
        <v/>
      </c>
      <c r="E35" s="16" t="inlineStr">
        <is>
          <t>новое</t>
        </is>
      </c>
      <c r="G35" s="26">
        <f>Ряд!H36-Ряд!H35</f>
        <v/>
      </c>
      <c r="H35" s="26">
        <f>Ряд!H37-Ряд!H35</f>
        <v/>
      </c>
      <c r="I35" s="26">
        <f>Ряд!H38-Ряд!H35</f>
        <v/>
      </c>
      <c r="J35" s="26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5" t="inlineStr">
        <is>
          <t>z_p*D35*SQRT(3)</t>
        </is>
      </c>
      <c r="D36" s="24">
        <f>z_p*D35*SQRT(3)</f>
        <v/>
      </c>
      <c r="E36" s="16" t="inlineStr">
        <is>
          <t>новое</t>
        </is>
      </c>
      <c r="G36" s="26">
        <f>Ряд!H37-Ряд!H36</f>
        <v/>
      </c>
      <c r="H36" s="26">
        <f>Ряд!H38-Ряд!H36</f>
        <v/>
      </c>
      <c r="I36" s="26">
        <f>Ряд!H39-Ряд!H36</f>
        <v/>
      </c>
      <c r="J36" s="26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G37" s="26">
        <f>Ряд!H38-Ряд!H37</f>
        <v/>
      </c>
      <c r="H37" s="26">
        <f>Ряд!H39-Ряд!H37</f>
        <v/>
      </c>
      <c r="I37" s="26">
        <f>Ряд!H40-Ряд!H37</f>
        <v/>
      </c>
    </row>
    <row r="38">
      <c r="A38" s="22" t="inlineStr">
        <is>
          <t>4. Дрейф</t>
        </is>
      </c>
      <c r="B38" s="23" t="n"/>
      <c r="C38" s="23" t="n"/>
      <c r="D38" s="23" t="n"/>
      <c r="E38" s="23" t="n"/>
      <c r="G38" s="26">
        <f>Ряд!H39-Ряд!H38</f>
        <v/>
      </c>
      <c r="H38" s="26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5" t="inlineStr">
        <is>
          <t>AVERAGE(d)</t>
        </is>
      </c>
      <c r="D39" s="24">
        <f>AVERAGE(d)</f>
        <v/>
      </c>
      <c r="E39" s="16" t="inlineStr">
        <is>
          <t>новое</t>
        </is>
      </c>
      <c r="G39" s="26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5" t="inlineStr">
        <is>
          <t>AVERAGE(d)*3</t>
        </is>
      </c>
      <c r="D40" s="24">
        <f>AVERAGE(d)*3</f>
        <v/>
      </c>
      <c r="E40" s="16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</sheetData>
  <mergeCells count="6">
    <mergeCell ref="A29:E29"/>
    <mergeCell ref="A2:E2"/>
    <mergeCell ref="A41:E41"/>
    <mergeCell ref="A19:E19"/>
    <mergeCell ref="A37:E37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42" customWidth="1" min="4" max="4"/>
    <col width="30" customWidth="1" min="5" max="5"/>
    <col width="9" customWidth="1" min="6" max="6"/>
    <col width="9" customWidth="1" min="7" max="7"/>
  </cols>
  <sheetData>
    <row r="1">
      <c r="A1" s="1" t="inlineStr">
        <is>
          <t>Светофор: зоны, определения, границы, действия</t>
        </is>
      </c>
    </row>
    <row r="2" ht="44" customHeight="1">
      <c r="A2" s="2" t="inlineStr">
        <is>
          <t>Определения зон — дословно п. 18 Правил № 86 (Правила формирования системы управления рисками и внутреннего контроля, постановление Правления АРРФР от 28.04.2026 № 86, Минюст № 38586 от 29.04.2026). Своих формулировок здесь нет. Границы считаются из волатильности самой метрики, лимит приходит из Приложения № 3 к Политике — подобранных чисел на листе нет ни одного.</t>
        </is>
      </c>
    </row>
    <row r="4" ht="32" customHeight="1">
      <c r="A4" s="5" t="inlineStr">
        <is>
          <t>Зона</t>
        </is>
      </c>
      <c r="B4" s="5" t="inlineStr">
        <is>
          <t>Определение по п. 18 Правил № 86</t>
        </is>
      </c>
      <c r="C4" s="5" t="inlineStr">
        <is>
          <t>Нижняя граница</t>
        </is>
      </c>
      <c r="D4" s="5" t="inlineStr">
        <is>
          <t>Верхняя граница</t>
        </is>
      </c>
      <c r="E4" s="5" t="inlineStr">
        <is>
          <t>Формула границы</t>
        </is>
      </c>
      <c r="F4" s="5" t="inlineStr">
        <is>
          <t>Набл.</t>
        </is>
      </c>
      <c r="G4" s="5" t="inlineStr">
        <is>
          <t>Доля, %</t>
        </is>
      </c>
    </row>
    <row r="5" ht="56" customHeight="1">
      <c r="A5" s="27" t="inlineStr">
        <is>
          <t>Зелёная</t>
        </is>
      </c>
      <c r="B5" s="28" t="inlineStr">
        <is>
          <t>уровень, не требующий применения корректирующих мер</t>
        </is>
      </c>
      <c r="C5" s="29" t="inlineStr">
        <is>
          <t>—</t>
        </is>
      </c>
      <c r="D5" s="29">
        <f>'Расчёт'!D29</f>
        <v/>
      </c>
      <c r="E5" s="30" t="inlineStr">
        <is>
          <t>— … L − M(4)</t>
        </is>
      </c>
      <c r="F5" s="31">
        <f>COUNTIF(v,"&lt;"&amp;'Расчёт'!D29)</f>
        <v/>
      </c>
      <c r="G5" s="32">
        <f>F5/COUNT(v)*100</f>
        <v/>
      </c>
    </row>
    <row r="6" ht="56" customHeight="1">
      <c r="A6" s="33" t="inlineStr">
        <is>
          <t>Жёлтая</t>
        </is>
      </c>
      <c r="B6" s="34" t="inlineStr">
        <is>
          <t>уровень, определённый как допустимый, но требующий отдельных корректирующих мер в действующих процедурах системы управления рисками с целью снижения уровня риска</t>
        </is>
      </c>
      <c r="C6" s="35">
        <f>'Расчёт'!D29</f>
        <v/>
      </c>
      <c r="D6" s="35">
        <f>'Расчёт'!D17</f>
        <v/>
      </c>
      <c r="E6" s="36" t="inlineStr">
        <is>
          <t>L − M(4) … L − M(1)</t>
        </is>
      </c>
      <c r="F6" s="37">
        <f>COUNTIFS(v,"&gt;="&amp;'Расчёт'!D29,v,"&lt;"&amp;'Расчёт'!D17)</f>
        <v/>
      </c>
      <c r="G6" s="38">
        <f>F6/COUNT(v)*100</f>
        <v/>
      </c>
    </row>
    <row r="7" ht="56" customHeight="1">
      <c r="A7" s="39" t="inlineStr">
        <is>
          <t>Красная</t>
        </is>
      </c>
      <c r="B7" s="40" t="inlineStr">
        <is>
          <t>уровень, определённый как высокий, требующий применения соответствующих мер с целью недопущения ухудшения финансовой устойчивости банка и его платёжеспособности</t>
        </is>
      </c>
      <c r="C7" s="41">
        <f>'Расчёт'!D17</f>
        <v/>
      </c>
      <c r="D7" s="41">
        <f>'Расчёт'!D12</f>
        <v/>
      </c>
      <c r="E7" s="42" t="inlineStr">
        <is>
          <t>L − M(1) … L</t>
        </is>
      </c>
      <c r="F7" s="43">
        <f>COUNTIFS(v,"&gt;="&amp;'Расчёт'!D17,v,"&lt;"&amp;'Расчёт'!D12)</f>
        <v/>
      </c>
      <c r="G7" s="44">
        <f>F7/COUNT(v)*100</f>
        <v/>
      </c>
    </row>
    <row r="8" ht="56" customHeight="1">
      <c r="A8" s="45" t="inlineStr">
        <is>
          <t>Нарушение лимита</t>
        </is>
      </c>
      <c r="B8" s="46" t="inlineStr">
        <is>
          <t>действующий уровень риск-аппетита превышен. Отдельное состояние, а не зона: зоны описывают уровень риска, лимит — обязательство</t>
        </is>
      </c>
      <c r="C8" s="47">
        <f>'Расчёт'!D12</f>
        <v/>
      </c>
      <c r="D8" s="47" t="inlineStr">
        <is>
          <t>—</t>
        </is>
      </c>
      <c r="E8" s="48" t="inlineStr">
        <is>
          <t>L … —</t>
        </is>
      </c>
      <c r="F8" s="49">
        <f>COUNTIF(v,"&gt;="&amp;'Расчёт'!D12)</f>
        <v/>
      </c>
      <c r="G8" s="50">
        <f>F8/COUNT(v)*100</f>
        <v/>
      </c>
    </row>
    <row r="9">
      <c r="A9" s="51" t="inlineStr">
        <is>
          <t>Всего</t>
        </is>
      </c>
      <c r="B9" s="52" t="n"/>
      <c r="C9" s="52" t="n"/>
      <c r="D9" s="52" t="n"/>
      <c r="E9" s="52" t="n"/>
      <c r="F9" s="53">
        <f>SUM(F5:F8)</f>
        <v/>
      </c>
      <c r="G9" s="54">
        <f>F9/COUNT(v)*100</f>
        <v/>
      </c>
    </row>
    <row r="11">
      <c r="A11" s="22" t="inlineStr">
        <is>
          <t>Где мы сейчас, 01.07.2026</t>
        </is>
      </c>
      <c r="B11" s="23" t="n"/>
      <c r="C11" s="23" t="n"/>
      <c r="D11" s="23" t="n"/>
      <c r="E11" s="23" t="n"/>
      <c r="F11" s="23" t="n"/>
      <c r="G11" s="23" t="n"/>
    </row>
    <row r="12">
      <c r="A12" s="6" t="inlineStr">
        <is>
          <t>Текущее значение метрики</t>
        </is>
      </c>
      <c r="B12" s="24">
        <f>'Расчёт'!D8</f>
        <v/>
      </c>
      <c r="C12" s="16" t="inlineStr">
        <is>
          <t>доля топ-20 в собственном капитале, балансовая база</t>
        </is>
      </c>
      <c r="D12" s="55" t="n"/>
      <c r="E12" s="55" t="n"/>
      <c r="F12" s="55" t="n"/>
      <c r="G12" s="56" t="n"/>
    </row>
    <row r="13">
      <c r="A13" s="6" t="inlineStr">
        <is>
          <t>Граница зелёная / жёлтая</t>
        </is>
      </c>
      <c r="B13" s="24">
        <f>'Расчёт'!D29</f>
        <v/>
      </c>
      <c r="C13" s="16" t="inlineStr">
        <is>
          <t>L − M(4)</t>
        </is>
      </c>
      <c r="D13" s="55" t="n"/>
      <c r="E13" s="55" t="n"/>
      <c r="F13" s="55" t="n"/>
      <c r="G13" s="56" t="n"/>
    </row>
    <row r="14">
      <c r="A14" s="6" t="inlineStr">
        <is>
          <t>Граница жёлтая / красная</t>
        </is>
      </c>
      <c r="B14" s="24">
        <f>'Расчёт'!D17</f>
        <v/>
      </c>
      <c r="C14" s="16" t="inlineStr">
        <is>
          <t>L − M(1)</t>
        </is>
      </c>
      <c r="D14" s="55" t="n"/>
      <c r="E14" s="55" t="n"/>
      <c r="F14" s="55" t="n"/>
      <c r="G14" s="56" t="n"/>
    </row>
    <row r="15">
      <c r="A15" s="6" t="inlineStr">
        <is>
          <t>Лимит</t>
        </is>
      </c>
      <c r="B15" s="24">
        <f>'Расчёт'!D12</f>
        <v/>
      </c>
      <c r="C15" s="16" t="inlineStr">
        <is>
          <t>95 % в регуляторной базе ÷ k</t>
        </is>
      </c>
      <c r="D15" s="55" t="n"/>
      <c r="E15" s="55" t="n"/>
      <c r="F15" s="55" t="n"/>
      <c r="G15" s="56" t="n"/>
    </row>
    <row r="16">
      <c r="A16" s="6" t="inlineStr">
        <is>
          <t>До красной, пп</t>
        </is>
      </c>
      <c r="B16" s="24">
        <f>'Расчёт'!D17-'Расчёт'!D8</f>
        <v/>
      </c>
      <c r="C16" s="16" t="inlineStr">
        <is>
          <t>меньше половины одного месячного σ</t>
        </is>
      </c>
      <c r="D16" s="55" t="n"/>
      <c r="E16" s="55" t="n"/>
      <c r="F16" s="55" t="n"/>
      <c r="G16" s="56" t="n"/>
    </row>
    <row r="17">
      <c r="A17" s="6" t="inlineStr">
        <is>
          <t>До лимита, пп</t>
        </is>
      </c>
      <c r="B17" s="24">
        <f>'Расчёт'!D12-'Расчёт'!D8</f>
        <v/>
      </c>
      <c r="C17" s="16" t="inlineStr"/>
      <c r="D17" s="55" t="n"/>
      <c r="E17" s="55" t="n"/>
      <c r="F17" s="55" t="n"/>
      <c r="G17" s="56" t="n"/>
    </row>
    <row r="18">
      <c r="A18" s="6" t="inlineStr">
        <is>
          <t>T* — месяцев до лимита</t>
        </is>
      </c>
      <c r="B18" s="24">
        <f>'Расчёт'!D45</f>
        <v/>
      </c>
      <c r="C18" s="16" t="inlineStr">
        <is>
          <t>((L − v) / (z·σ))²</t>
        </is>
      </c>
      <c r="D18" s="55" t="n"/>
      <c r="E18" s="55" t="n"/>
      <c r="F18" s="55" t="n"/>
      <c r="G18" s="56" t="n"/>
    </row>
    <row r="19">
      <c r="A19" s="6" t="inlineStr">
        <is>
          <t>Зона текущей точки</t>
        </is>
      </c>
      <c r="B19" s="57">
        <f>IF('Расчёт'!D8&gt;='Расчёт'!D12,"НАРУШЕНИЕ ЛИМИТА",IF('Расчёт'!D8&gt;='Расчёт'!D17,"КРАСНАЯ",IF('Расчёт'!D8&gt;='Расчёт'!D29,"ЖЁЛТАЯ","ЗЕЛЁНАЯ")))</f>
        <v/>
      </c>
      <c r="C19" s="16" t="inlineStr">
        <is>
          <t>Жёлтая означает: уровень допустим, но требует отдельных корректирующих мер в действующих процедурах.</t>
        </is>
      </c>
      <c r="D19" s="55" t="n"/>
      <c r="E19" s="55" t="n"/>
      <c r="F19" s="55" t="n"/>
      <c r="G19" s="56" t="n"/>
    </row>
    <row r="21">
      <c r="A21" s="22" t="inlineStr">
        <is>
          <t>Сколько стоит смена зоны, млн ₸</t>
        </is>
      </c>
      <c r="B21" s="23" t="n"/>
      <c r="C21" s="23" t="n"/>
      <c r="D21" s="23" t="n"/>
      <c r="E21" s="23" t="n"/>
      <c r="F21" s="23" t="n"/>
      <c r="G21" s="23" t="n"/>
    </row>
    <row r="22">
      <c r="A22" s="13" t="inlineStr">
        <is>
          <t>Что сделать</t>
        </is>
      </c>
      <c r="B22" s="13" t="inlineStr">
        <is>
          <t>Через задолженность топ-20</t>
        </is>
      </c>
      <c r="C22" s="13" t="inlineStr">
        <is>
          <t>Через собственный капитал</t>
        </is>
      </c>
      <c r="D22" s="13" t="inlineStr">
        <is>
          <t>Комментарий</t>
        </is>
      </c>
      <c r="E22" s="55" t="n"/>
      <c r="F22" s="55" t="n"/>
      <c r="G22" s="56" t="n"/>
    </row>
    <row r="23">
      <c r="A23" s="6" t="inlineStr">
        <is>
          <t>Вернуться в зелёную</t>
        </is>
      </c>
      <c r="B23" s="58">
        <f>'Расчёт'!D29/100*Ряд!D40-Ряд!B40</f>
        <v/>
      </c>
      <c r="C23" s="58">
        <f>Ряд!B40/('Расчёт'!D29/100)-Ряд!D40</f>
        <v/>
      </c>
      <c r="D23" s="16" t="inlineStr">
        <is>
          <t>самая дорогая из трёх: 3,3 пп ниже текущей точки</t>
        </is>
      </c>
      <c r="E23" s="55" t="n"/>
      <c r="F23" s="55" t="n"/>
      <c r="G23" s="56" t="n"/>
    </row>
    <row r="24">
      <c r="A24" s="6" t="inlineStr">
        <is>
          <t>Не войти в красную</t>
        </is>
      </c>
      <c r="B24" s="58">
        <f>'Расчёт'!D17/100*Ряд!D40-Ряд!B40</f>
        <v/>
      </c>
      <c r="C24" s="58">
        <f>Ряд!B40/('Расчёт'!D17/100)-Ряд!D40</f>
        <v/>
      </c>
      <c r="D24" s="16" t="inlineStr">
        <is>
          <t>запас, который есть сейчас; один средний месяц по σ больше него вдвое</t>
        </is>
      </c>
      <c r="E24" s="55" t="n"/>
      <c r="F24" s="55" t="n"/>
      <c r="G24" s="56" t="n"/>
    </row>
    <row r="25">
      <c r="A25" s="6" t="inlineStr">
        <is>
          <t>Не нарушить лимит</t>
        </is>
      </c>
      <c r="B25" s="58">
        <f>'Расчёт'!D12/100*Ряд!D40-Ряд!B40</f>
        <v/>
      </c>
      <c r="C25" s="58">
        <f>Ряд!B40/('Расчёт'!D12/100)-Ряд!D40</f>
        <v/>
      </c>
      <c r="D25" s="16" t="inlineStr">
        <is>
          <t>формальный запас до обязательства</t>
        </is>
      </c>
      <c r="E25" s="55" t="n"/>
      <c r="F25" s="55" t="n"/>
      <c r="G25" s="56" t="n"/>
    </row>
    <row r="26" ht="44" customHeight="1">
      <c r="A26" s="21" t="inlineStr">
        <is>
          <t>Масштаб, определяющий всё остальное: одно среднее месячное движение по σ_Δ равно 17 989 млн ₸ задолженности при текущем капитале. Это вдвое больше запаса до красной зоны. Меры, которые начинают выбирать в момент срабатывания, опаздывают по построению — отсюда требование п. 18 № 86 брать их из ДЕЙСТВУЮЩИХ процедур, а не сочинять.</t>
        </is>
      </c>
    </row>
    <row r="28">
      <c r="A28" s="22" t="inlineStr">
        <is>
          <t>Вероятность достичь границы за T месяцев</t>
        </is>
      </c>
      <c r="B28" s="23" t="n"/>
      <c r="C28" s="23" t="n"/>
      <c r="D28" s="23" t="n"/>
      <c r="E28" s="23" t="n"/>
      <c r="F28" s="23" t="n"/>
      <c r="G28" s="23" t="n"/>
    </row>
    <row r="29">
      <c r="A29" s="13" t="inlineStr">
        <is>
          <t>Граница</t>
        </is>
      </c>
      <c r="B29" s="13" t="inlineStr">
        <is>
          <t>1 месяц</t>
        </is>
      </c>
      <c r="C29" s="13" t="inlineStr">
        <is>
          <t>2 месяца</t>
        </is>
      </c>
      <c r="D29" s="13" t="inlineStr">
        <is>
          <t>3 месяца</t>
        </is>
      </c>
      <c r="E29" s="13" t="inlineStr">
        <is>
          <t>6 месяцев</t>
        </is>
      </c>
      <c r="F29" s="13" t="inlineStr">
        <is>
          <t>Разрыв, пп</t>
        </is>
      </c>
    </row>
    <row r="30">
      <c r="A30" s="6" t="inlineStr">
        <is>
          <t>Войти в красную зону</t>
        </is>
      </c>
      <c r="B30" s="20">
        <f>(1-NORMSDIST(('Расчёт'!D17-'Расчёт'!D8)/('Расчёт'!D6*SQRT(1))))*100</f>
        <v/>
      </c>
      <c r="C30" s="20">
        <f>(1-NORMSDIST(('Расчёт'!D17-'Расчёт'!D8)/('Расчёт'!D6*SQRT(2))))*100</f>
        <v/>
      </c>
      <c r="D30" s="20">
        <f>(1-NORMSDIST(('Расчёт'!D17-'Расчёт'!D8)/('Расчёт'!D6*SQRT(3))))*100</f>
        <v/>
      </c>
      <c r="E30" s="20">
        <f>(1-NORMSDIST(('Расчёт'!D17-'Расчёт'!D8)/('Расчёт'!D6*SQRT(6))))*100</f>
        <v/>
      </c>
      <c r="F30" s="9">
        <f>'Расчёт'!D17-'Расчёт'!D8</f>
        <v/>
      </c>
    </row>
    <row r="31">
      <c r="A31" s="6" t="inlineStr">
        <is>
          <t>Нарушить лимит</t>
        </is>
      </c>
      <c r="B31" s="20">
        <f>(1-NORMSDIST(('Расчёт'!D12-'Расчёт'!D8)/('Расчёт'!D6*SQRT(1))))*100</f>
        <v/>
      </c>
      <c r="C31" s="20">
        <f>(1-NORMSDIST(('Расчёт'!D12-'Расчёт'!D8)/('Расчёт'!D6*SQRT(2))))*100</f>
        <v/>
      </c>
      <c r="D31" s="20">
        <f>(1-NORMSDIST(('Расчёт'!D12-'Расчёт'!D8)/('Расчёт'!D6*SQRT(3))))*100</f>
        <v/>
      </c>
      <c r="E31" s="20">
        <f>(1-NORMSDIST(('Расчёт'!D12-'Расчёт'!D8)/('Расчёт'!D6*SQRT(6))))*100</f>
        <v/>
      </c>
      <c r="F31" s="9">
        <f>'Расчёт'!D12-'Расчёт'!D8</f>
        <v/>
      </c>
    </row>
    <row r="32" ht="40" customHeight="1">
      <c r="A32" s="21" t="inlineStr">
        <is>
          <t>Считано по нормальной модели с нулевым дрейфом — тем же допущением, что и M(T), и проверенным на листе «Обоснование M(T)». Главное число: вероятность войти в красную зону в течение одного месяца — около 32 %. Это не прогноз, а мера близости: разрыв до красной меньше половины месячного σ.</t>
        </is>
      </c>
    </row>
    <row r="34">
      <c r="A34" s="22" t="inlineStr">
        <is>
          <t>План действий по зонам — предложение, требующее решений</t>
        </is>
      </c>
      <c r="B34" s="23" t="n"/>
      <c r="C34" s="23" t="n"/>
      <c r="D34" s="23" t="n"/>
      <c r="E34" s="23" t="n"/>
      <c r="F34" s="23" t="n"/>
      <c r="G34" s="23" t="n"/>
    </row>
    <row r="35" ht="30" customHeight="1">
      <c r="A35" s="5" t="inlineStr">
        <is>
          <t>Зона</t>
        </is>
      </c>
      <c r="B35" s="5" t="inlineStr">
        <is>
          <t>Наблюдение</t>
        </is>
      </c>
      <c r="C35" s="5" t="inlineStr">
        <is>
          <t>Уведомление</t>
        </is>
      </c>
      <c r="D35" s="5" t="inlineStr">
        <is>
          <t>Меры</t>
        </is>
      </c>
      <c r="E35" s="5" t="inlineStr">
        <is>
          <t>Что документируется</t>
        </is>
      </c>
      <c r="F35" s="5" t="inlineStr">
        <is>
          <t>Вопрос, который надо закрыть</t>
        </is>
      </c>
      <c r="G35" s="56" t="n"/>
    </row>
    <row r="36" ht="92" customHeight="1">
      <c r="A36" s="27" t="inlineStr">
        <is>
          <t>Зелёная</t>
        </is>
      </c>
      <c r="B36" s="4" t="inlineStr">
        <is>
          <t>Ежемесячно, штатный отчёт</t>
        </is>
      </c>
      <c r="C36" s="4" t="inlineStr">
        <is>
          <t>Штатный отчёт</t>
        </is>
      </c>
      <c r="D36" s="4" t="inlineStr">
        <is>
          <t>Не требуются</t>
        </is>
      </c>
      <c r="E36" s="4" t="inlineStr">
        <is>
          <t>—</t>
        </is>
      </c>
      <c r="F36" s="16" t="inlineStr">
        <is>
          <t>Ничего. Формулировка зоны прямо говорит «не требующий мер» — добавлять действия сюда значит противоречить определению</t>
        </is>
      </c>
      <c r="G36" s="56" t="n"/>
    </row>
    <row r="37" ht="92" customHeight="1">
      <c r="A37" s="33" t="inlineStr">
        <is>
          <t>Жёлтая</t>
        </is>
      </c>
      <c r="B37" s="4" t="inlineStr">
        <is>
          <t>Еженедельно, с гистерезисом</t>
        </is>
      </c>
      <c r="C37" s="4" t="inlineStr">
        <is>
          <t>БРМ → КРВК, срок не установлен</t>
        </is>
      </c>
      <c r="D37" s="4" t="inlineStr">
        <is>
          <t>Из действующих процедур: получение денежного обеспечения (вычитается из числителя метрики напрямую); остановка прироста задолженности топ-20 и пролонгаций</t>
        </is>
      </c>
      <c r="E37" s="4" t="inlineStr">
        <is>
          <t>Решение о применении меры либо мотивированный отказ</t>
        </is>
      </c>
      <c r="F37" s="16" t="inlineStr">
        <is>
          <t>1) Какие именно действующие процедуры содержат эти меры — норма требует брать существующие, а не вводить новые. 2) N месяцев подряд ниже границы для выхода из зоны (гистерезис). 3) Срок уведомления КРВК</t>
        </is>
      </c>
      <c r="G37" s="56" t="n"/>
    </row>
    <row r="38" ht="92" customHeight="1">
      <c r="A38" s="39" t="inlineStr">
        <is>
          <t>Красная</t>
        </is>
      </c>
      <c r="B38" s="4" t="inlineStr">
        <is>
          <t>Еженедельно + внеочередной расчёт</t>
        </is>
      </c>
      <c r="C38" s="4" t="inlineStr">
        <is>
          <t>СД через КРВК, незамедлительно</t>
        </is>
      </c>
      <c r="D38" s="4" t="inlineStr">
        <is>
          <t>Те же меры плюс план снижения с датой возврата в жёлтую. Синдикация и уступка части требуют контрагента и в один месяц не укладываются</t>
        </is>
      </c>
      <c r="E38" s="4" t="inlineStr">
        <is>
          <t>Письменный план устранения с ответственным и датой</t>
        </is>
      </c>
      <c r="F38" s="16" t="inlineStr">
        <is>
          <t>1) Уведомляется ли АРРФР и на каком основании — смотреть Правила № 272 о мерах надзорного реагирования. 2) Согласование с триггерами режима восстановления по № 119: красная зона использует их словарь («финансовая устойчивость и платёжеспособность»), и две системы не должны противоречить</t>
        </is>
      </c>
      <c r="G38" s="56" t="n"/>
    </row>
    <row r="39" ht="92" customHeight="1">
      <c r="A39" s="45" t="inlineStr">
        <is>
          <t>Нарушение лимита</t>
        </is>
      </c>
      <c r="B39" s="4" t="inlineStr">
        <is>
          <t>Еженедельно + внеочередной расчёт</t>
        </is>
      </c>
      <c r="C39" s="4" t="inlineStr">
        <is>
          <t>СД, протокол УО</t>
        </is>
      </c>
      <c r="D39" s="4" t="inlineStr">
        <is>
          <t>Устранение нарушения по Политике п. 12-1 и п. 27</t>
        </is>
      </c>
      <c r="E39" s="4" t="inlineStr">
        <is>
          <t>Письменное описание того, как нарушение будет или было устранено</t>
        </is>
      </c>
      <c r="F39" s="16" t="inlineStr">
        <is>
          <t>Конкретных мер и сроков в Политике НЕТ — это записанный пробел ВНД, а не пропуск в книге. Закрывается правкой Политики, не расчётом</t>
        </is>
      </c>
      <c r="G39" s="56" t="n"/>
    </row>
    <row r="41" ht="48" customHeight="1">
      <c r="A41" s="21" t="inlineStr">
        <is>
          <t>Структура режима взята из OCC Heightened Standards II.H (см. BENCHMARK.md): выявление; РАЗЛИЧЕНИЕ нарушений по тяжести последствий; протокол уведомления первой линии, БРМ, внутреннего аудита, СД и регулятора; письменное описание устранения; ответственность с учётом величины, частоты и повторяемости. Из пяти элементов в нашей Политике есть один — факт нарушения. Остальные четыре и есть содержание правки.</t>
        </is>
      </c>
    </row>
    <row r="42" ht="58" customHeight="1">
      <c r="A42" s="21" t="inlineStr">
        <is>
          <t>ЧТО НА ЭТОМ ЛИСТЕ НЕ ДОКАЗАНО. Первое: п. 18 Правил № 86 и Приложение № 2 к Методике дословно не разобраны; определения зон взяты из конспекта SPRAVOCHNIK_RA.md, а не из оригинала. Второе, важнее: при лестничной разметке действующий уровень 95 %% выполняет роль риск-ёмкости, а уровнем риск-аппетита становится граница зелёной зоны — это смена смысла числа 95, и её принимает уполномоченный орган, а не расчёт. Находка Р1 показывает, что на восьми метриках Банк уже так и делает.</t>
        </is>
      </c>
    </row>
  </sheetData>
  <mergeCells count="22">
    <mergeCell ref="A32:G32"/>
    <mergeCell ref="D25:G25"/>
    <mergeCell ref="C15:G15"/>
    <mergeCell ref="D24:G24"/>
    <mergeCell ref="C14:G14"/>
    <mergeCell ref="D23:G23"/>
    <mergeCell ref="C16:G16"/>
    <mergeCell ref="F36:G36"/>
    <mergeCell ref="F35:G35"/>
    <mergeCell ref="D22:G22"/>
    <mergeCell ref="C12:G12"/>
    <mergeCell ref="F38:G38"/>
    <mergeCell ref="A41:G41"/>
    <mergeCell ref="C17:G17"/>
    <mergeCell ref="F37:G37"/>
    <mergeCell ref="F39:G39"/>
    <mergeCell ref="A26:G26"/>
    <mergeCell ref="C19:G19"/>
    <mergeCell ref="A2:G2"/>
    <mergeCell ref="C13:G13"/>
    <mergeCell ref="C18:G18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3" t="inlineStr">
        <is>
          <t>Методы</t>
        </is>
      </c>
      <c r="B4" s="13" t="inlineStr">
        <is>
          <t>Какая σ</t>
        </is>
      </c>
      <c r="C4" s="13" t="inlineStr">
        <is>
          <t>Значение</t>
        </is>
      </c>
      <c r="D4" s="13" t="inlineStr">
        <is>
          <t>К σ_Δ</t>
        </is>
      </c>
      <c r="E4" s="13" t="inlineStr">
        <is>
          <t>Что из этого следует</t>
        </is>
      </c>
    </row>
    <row r="5" ht="46" customHeight="1">
      <c r="A5" s="59" t="inlineStr">
        <is>
          <t>D, H</t>
        </is>
      </c>
      <c r="B5" s="4" t="inlineStr">
        <is>
          <t>выборочное с.к.о. приростов, все 35</t>
        </is>
      </c>
      <c r="C5" s="24">
        <f>'Расчёт'!D6</f>
        <v/>
      </c>
      <c r="D5" s="60">
        <f>C5/'Расчёт'!D6</f>
        <v/>
      </c>
      <c r="E5" s="16" t="inlineStr">
        <is>
          <t>Базовая. На ней стоят запас M(T), расстояние D и T*</t>
        </is>
      </c>
    </row>
    <row r="6" ht="46" customHeight="1">
      <c r="A6" s="59" t="inlineStr">
        <is>
          <t>М1</t>
        </is>
      </c>
      <c r="B6" s="4" t="inlineStr">
        <is>
          <t>выборочное с.к.о. самих уровней, не приростов</t>
        </is>
      </c>
      <c r="C6" s="24">
        <f>'Расчёт'!D7</f>
        <v/>
      </c>
      <c r="D6" s="60">
        <f>C6/'Расчёт'!D6</f>
        <v/>
      </c>
      <c r="E6" s="16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1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3" t="inlineStr">
        <is>
          <t>Дата</t>
        </is>
      </c>
      <c r="B4" s="13" t="inlineStr">
        <is>
          <t>ΔСК, %</t>
        </is>
      </c>
      <c r="C4" s="13" t="inlineStr">
        <is>
          <t>ΔЗайм, %</t>
        </is>
      </c>
      <c r="D4" s="13" t="inlineStr">
        <is>
          <t>Коэффициент</t>
        </is>
      </c>
      <c r="E4" s="13" t="inlineStr">
        <is>
          <t>Что сработало</t>
        </is>
      </c>
    </row>
    <row r="5">
      <c r="A5" s="6">
        <f>'Ряд'!A6</f>
        <v/>
      </c>
      <c r="B5" s="11">
        <f>'Ряд'!K6</f>
        <v/>
      </c>
      <c r="C5" s="11">
        <f>'Ряд'!L6</f>
        <v/>
      </c>
      <c r="D5" s="11">
        <f>'Ряд'!H6</f>
        <v/>
      </c>
      <c r="E5" s="12">
        <f>'Ряд'!M6</f>
        <v/>
      </c>
    </row>
    <row r="6">
      <c r="A6" s="6">
        <f>'Ряд'!A7</f>
        <v/>
      </c>
      <c r="B6" s="11">
        <f>'Ряд'!K7</f>
        <v/>
      </c>
      <c r="C6" s="11">
        <f>'Ряд'!L7</f>
        <v/>
      </c>
      <c r="D6" s="11">
        <f>'Ряд'!H7</f>
        <v/>
      </c>
      <c r="E6" s="12">
        <f>'Ряд'!M7</f>
        <v/>
      </c>
    </row>
    <row r="7">
      <c r="A7" s="6">
        <f>'Ряд'!A8</f>
        <v/>
      </c>
      <c r="B7" s="11">
        <f>'Ряд'!K8</f>
        <v/>
      </c>
      <c r="C7" s="11">
        <f>'Ряд'!L8</f>
        <v/>
      </c>
      <c r="D7" s="11">
        <f>'Ряд'!H8</f>
        <v/>
      </c>
      <c r="E7" s="12">
        <f>'Ряд'!M8</f>
        <v/>
      </c>
    </row>
    <row r="8">
      <c r="A8" s="6">
        <f>'Ряд'!A9</f>
        <v/>
      </c>
      <c r="B8" s="11">
        <f>'Ряд'!K9</f>
        <v/>
      </c>
      <c r="C8" s="11">
        <f>'Ряд'!L9</f>
        <v/>
      </c>
      <c r="D8" s="11">
        <f>'Ряд'!H9</f>
        <v/>
      </c>
      <c r="E8" s="12">
        <f>'Ряд'!M9</f>
        <v/>
      </c>
    </row>
    <row r="9">
      <c r="A9" s="6">
        <f>'Ряд'!A10</f>
        <v/>
      </c>
      <c r="B9" s="11">
        <f>'Ряд'!K10</f>
        <v/>
      </c>
      <c r="C9" s="11">
        <f>'Ряд'!L10</f>
        <v/>
      </c>
      <c r="D9" s="11">
        <f>'Ряд'!H10</f>
        <v/>
      </c>
      <c r="E9" s="12">
        <f>'Ряд'!M10</f>
        <v/>
      </c>
    </row>
    <row r="10">
      <c r="A10" s="6">
        <f>'Ряд'!A11</f>
        <v/>
      </c>
      <c r="B10" s="11">
        <f>'Ряд'!K11</f>
        <v/>
      </c>
      <c r="C10" s="11">
        <f>'Ряд'!L11</f>
        <v/>
      </c>
      <c r="D10" s="11">
        <f>'Ряд'!H11</f>
        <v/>
      </c>
      <c r="E10" s="12">
        <f>'Ряд'!M11</f>
        <v/>
      </c>
    </row>
    <row r="11">
      <c r="A11" s="6">
        <f>'Ряд'!A12</f>
        <v/>
      </c>
      <c r="B11" s="11">
        <f>'Ряд'!K12</f>
        <v/>
      </c>
      <c r="C11" s="11">
        <f>'Ряд'!L12</f>
        <v/>
      </c>
      <c r="D11" s="11">
        <f>'Ряд'!H12</f>
        <v/>
      </c>
      <c r="E11" s="12">
        <f>'Ряд'!M12</f>
        <v/>
      </c>
    </row>
    <row r="12">
      <c r="A12" s="6">
        <f>'Ряд'!A13</f>
        <v/>
      </c>
      <c r="B12" s="11">
        <f>'Ряд'!K13</f>
        <v/>
      </c>
      <c r="C12" s="11">
        <f>'Ряд'!L13</f>
        <v/>
      </c>
      <c r="D12" s="11">
        <f>'Ряд'!H13</f>
        <v/>
      </c>
      <c r="E12" s="12">
        <f>'Ряд'!M13</f>
        <v/>
      </c>
    </row>
    <row r="13">
      <c r="A13" s="6">
        <f>'Ряд'!A14</f>
        <v/>
      </c>
      <c r="B13" s="11">
        <f>'Ряд'!K14</f>
        <v/>
      </c>
      <c r="C13" s="11">
        <f>'Ряд'!L14</f>
        <v/>
      </c>
      <c r="D13" s="11">
        <f>'Ряд'!H14</f>
        <v/>
      </c>
      <c r="E13" s="12">
        <f>'Ряд'!M14</f>
        <v/>
      </c>
    </row>
    <row r="14">
      <c r="A14" s="6">
        <f>'Ряд'!A15</f>
        <v/>
      </c>
      <c r="B14" s="11">
        <f>'Ряд'!K15</f>
        <v/>
      </c>
      <c r="C14" s="11">
        <f>'Ряд'!L15</f>
        <v/>
      </c>
      <c r="D14" s="11">
        <f>'Ряд'!H15</f>
        <v/>
      </c>
      <c r="E14" s="12">
        <f>'Ряд'!M15</f>
        <v/>
      </c>
    </row>
    <row r="15">
      <c r="A15" s="6">
        <f>'Ряд'!A16</f>
        <v/>
      </c>
      <c r="B15" s="11">
        <f>'Ряд'!K16</f>
        <v/>
      </c>
      <c r="C15" s="11">
        <f>'Ряд'!L16</f>
        <v/>
      </c>
      <c r="D15" s="11">
        <f>'Ряд'!H16</f>
        <v/>
      </c>
      <c r="E15" s="12">
        <f>'Ряд'!M16</f>
        <v/>
      </c>
    </row>
    <row r="16">
      <c r="A16" s="6">
        <f>'Ряд'!A17</f>
        <v/>
      </c>
      <c r="B16" s="11">
        <f>'Ряд'!K17</f>
        <v/>
      </c>
      <c r="C16" s="11">
        <f>'Ряд'!L17</f>
        <v/>
      </c>
      <c r="D16" s="11">
        <f>'Ряд'!H17</f>
        <v/>
      </c>
      <c r="E16" s="12">
        <f>'Ряд'!M17</f>
        <v/>
      </c>
    </row>
    <row r="17">
      <c r="A17" s="6">
        <f>'Ряд'!A18</f>
        <v/>
      </c>
      <c r="B17" s="11">
        <f>'Ряд'!K18</f>
        <v/>
      </c>
      <c r="C17" s="11">
        <f>'Ряд'!L18</f>
        <v/>
      </c>
      <c r="D17" s="11">
        <f>'Ряд'!H18</f>
        <v/>
      </c>
      <c r="E17" s="12">
        <f>'Ряд'!M18</f>
        <v/>
      </c>
    </row>
    <row r="18">
      <c r="A18" s="6">
        <f>'Ряд'!A19</f>
        <v/>
      </c>
      <c r="B18" s="11">
        <f>'Ряд'!K19</f>
        <v/>
      </c>
      <c r="C18" s="11">
        <f>'Ряд'!L19</f>
        <v/>
      </c>
      <c r="D18" s="11">
        <f>'Ряд'!H19</f>
        <v/>
      </c>
      <c r="E18" s="12">
        <f>'Ряд'!M19</f>
        <v/>
      </c>
    </row>
    <row r="19">
      <c r="A19" s="6">
        <f>'Ряд'!A20</f>
        <v/>
      </c>
      <c r="B19" s="11">
        <f>'Ряд'!K20</f>
        <v/>
      </c>
      <c r="C19" s="11">
        <f>'Ряд'!L20</f>
        <v/>
      </c>
      <c r="D19" s="11">
        <f>'Ряд'!H20</f>
        <v/>
      </c>
      <c r="E19" s="12">
        <f>'Ряд'!M20</f>
        <v/>
      </c>
    </row>
    <row r="20">
      <c r="A20" s="6">
        <f>'Ряд'!A21</f>
        <v/>
      </c>
      <c r="B20" s="11">
        <f>'Ряд'!K21</f>
        <v/>
      </c>
      <c r="C20" s="11">
        <f>'Ряд'!L21</f>
        <v/>
      </c>
      <c r="D20" s="11">
        <f>'Ряд'!H21</f>
        <v/>
      </c>
      <c r="E20" s="12">
        <f>'Ряд'!M21</f>
        <v/>
      </c>
    </row>
    <row r="21">
      <c r="A21" s="6">
        <f>'Ряд'!A22</f>
        <v/>
      </c>
      <c r="B21" s="11">
        <f>'Ряд'!K22</f>
        <v/>
      </c>
      <c r="C21" s="11">
        <f>'Ряд'!L22</f>
        <v/>
      </c>
      <c r="D21" s="11">
        <f>'Ряд'!H22</f>
        <v/>
      </c>
      <c r="E21" s="12">
        <f>'Ряд'!M22</f>
        <v/>
      </c>
    </row>
    <row r="22">
      <c r="A22" s="6">
        <f>'Ряд'!A23</f>
        <v/>
      </c>
      <c r="B22" s="11">
        <f>'Ряд'!K23</f>
        <v/>
      </c>
      <c r="C22" s="11">
        <f>'Ряд'!L23</f>
        <v/>
      </c>
      <c r="D22" s="11">
        <f>'Ряд'!H23</f>
        <v/>
      </c>
      <c r="E22" s="12">
        <f>'Ряд'!M23</f>
        <v/>
      </c>
    </row>
    <row r="23">
      <c r="A23" s="6">
        <f>'Ряд'!A24</f>
        <v/>
      </c>
      <c r="B23" s="11">
        <f>'Ряд'!K24</f>
        <v/>
      </c>
      <c r="C23" s="11">
        <f>'Ряд'!L24</f>
        <v/>
      </c>
      <c r="D23" s="11">
        <f>'Ряд'!H24</f>
        <v/>
      </c>
      <c r="E23" s="12">
        <f>'Ряд'!M24</f>
        <v/>
      </c>
    </row>
    <row r="24">
      <c r="A24" s="6">
        <f>'Ряд'!A25</f>
        <v/>
      </c>
      <c r="B24" s="11">
        <f>'Ряд'!K25</f>
        <v/>
      </c>
      <c r="C24" s="11">
        <f>'Ряд'!L25</f>
        <v/>
      </c>
      <c r="D24" s="11">
        <f>'Ряд'!H25</f>
        <v/>
      </c>
      <c r="E24" s="12">
        <f>'Ряд'!M25</f>
        <v/>
      </c>
    </row>
    <row r="25">
      <c r="A25" s="6">
        <f>'Ряд'!A26</f>
        <v/>
      </c>
      <c r="B25" s="11">
        <f>'Ряд'!K26</f>
        <v/>
      </c>
      <c r="C25" s="11">
        <f>'Ряд'!L26</f>
        <v/>
      </c>
      <c r="D25" s="11">
        <f>'Ряд'!H26</f>
        <v/>
      </c>
      <c r="E25" s="12">
        <f>'Ряд'!M26</f>
        <v/>
      </c>
    </row>
    <row r="26">
      <c r="A26" s="6">
        <f>'Ряд'!A27</f>
        <v/>
      </c>
      <c r="B26" s="11">
        <f>'Ряд'!K27</f>
        <v/>
      </c>
      <c r="C26" s="11">
        <f>'Ряд'!L27</f>
        <v/>
      </c>
      <c r="D26" s="11">
        <f>'Ряд'!H27</f>
        <v/>
      </c>
      <c r="E26" s="12">
        <f>'Ряд'!M27</f>
        <v/>
      </c>
    </row>
    <row r="27">
      <c r="A27" s="6">
        <f>'Ряд'!A28</f>
        <v/>
      </c>
      <c r="B27" s="11">
        <f>'Ряд'!K28</f>
        <v/>
      </c>
      <c r="C27" s="11">
        <f>'Ряд'!L28</f>
        <v/>
      </c>
      <c r="D27" s="11">
        <f>'Ряд'!H28</f>
        <v/>
      </c>
      <c r="E27" s="12">
        <f>'Ряд'!M28</f>
        <v/>
      </c>
    </row>
    <row r="28">
      <c r="A28" s="6">
        <f>'Ряд'!A29</f>
        <v/>
      </c>
      <c r="B28" s="11">
        <f>'Ряд'!K29</f>
        <v/>
      </c>
      <c r="C28" s="11">
        <f>'Ряд'!L29</f>
        <v/>
      </c>
      <c r="D28" s="11">
        <f>'Ряд'!H29</f>
        <v/>
      </c>
      <c r="E28" s="12">
        <f>'Ряд'!M29</f>
        <v/>
      </c>
    </row>
    <row r="29">
      <c r="A29" s="6">
        <f>'Ряд'!A30</f>
        <v/>
      </c>
      <c r="B29" s="11">
        <f>'Ряд'!K30</f>
        <v/>
      </c>
      <c r="C29" s="11">
        <f>'Ряд'!L30</f>
        <v/>
      </c>
      <c r="D29" s="11">
        <f>'Ряд'!H30</f>
        <v/>
      </c>
      <c r="E29" s="12">
        <f>'Ряд'!M30</f>
        <v/>
      </c>
    </row>
    <row r="30">
      <c r="A30" s="6">
        <f>'Ряд'!A31</f>
        <v/>
      </c>
      <c r="B30" s="11">
        <f>'Ряд'!K31</f>
        <v/>
      </c>
      <c r="C30" s="11">
        <f>'Ряд'!L31</f>
        <v/>
      </c>
      <c r="D30" s="11">
        <f>'Ряд'!H31</f>
        <v/>
      </c>
      <c r="E30" s="12">
        <f>'Ряд'!M31</f>
        <v/>
      </c>
    </row>
    <row r="31">
      <c r="A31" s="6">
        <f>'Ряд'!A32</f>
        <v/>
      </c>
      <c r="B31" s="11">
        <f>'Ряд'!K32</f>
        <v/>
      </c>
      <c r="C31" s="11">
        <f>'Ряд'!L32</f>
        <v/>
      </c>
      <c r="D31" s="11">
        <f>'Ряд'!H32</f>
        <v/>
      </c>
      <c r="E31" s="12">
        <f>'Ряд'!M32</f>
        <v/>
      </c>
    </row>
    <row r="32">
      <c r="A32" s="6">
        <f>'Ряд'!A33</f>
        <v/>
      </c>
      <c r="B32" s="11">
        <f>'Ряд'!K33</f>
        <v/>
      </c>
      <c r="C32" s="11">
        <f>'Ряд'!L33</f>
        <v/>
      </c>
      <c r="D32" s="11">
        <f>'Ряд'!H33</f>
        <v/>
      </c>
      <c r="E32" s="12">
        <f>'Ряд'!M33</f>
        <v/>
      </c>
    </row>
    <row r="33">
      <c r="A33" s="6">
        <f>'Ряд'!A34</f>
        <v/>
      </c>
      <c r="B33" s="11">
        <f>'Ряд'!K34</f>
        <v/>
      </c>
      <c r="C33" s="11">
        <f>'Ряд'!L34</f>
        <v/>
      </c>
      <c r="D33" s="11">
        <f>'Ряд'!H34</f>
        <v/>
      </c>
      <c r="E33" s="12">
        <f>'Ряд'!M34</f>
        <v/>
      </c>
    </row>
    <row r="34">
      <c r="A34" s="6">
        <f>'Ряд'!A35</f>
        <v/>
      </c>
      <c r="B34" s="11">
        <f>'Ряд'!K35</f>
        <v/>
      </c>
      <c r="C34" s="11">
        <f>'Ряд'!L35</f>
        <v/>
      </c>
      <c r="D34" s="11">
        <f>'Ряд'!H35</f>
        <v/>
      </c>
      <c r="E34" s="12">
        <f>'Ряд'!M35</f>
        <v/>
      </c>
    </row>
    <row r="35">
      <c r="A35" s="6">
        <f>'Ряд'!A36</f>
        <v/>
      </c>
      <c r="B35" s="11">
        <f>'Ряд'!K36</f>
        <v/>
      </c>
      <c r="C35" s="11">
        <f>'Ряд'!L36</f>
        <v/>
      </c>
      <c r="D35" s="11">
        <f>'Ряд'!H36</f>
        <v/>
      </c>
      <c r="E35" s="12">
        <f>'Ряд'!M36</f>
        <v/>
      </c>
    </row>
    <row r="36">
      <c r="A36" s="6">
        <f>'Ряд'!A37</f>
        <v/>
      </c>
      <c r="B36" s="11">
        <f>'Ряд'!K37</f>
        <v/>
      </c>
      <c r="C36" s="11">
        <f>'Ряд'!L37</f>
        <v/>
      </c>
      <c r="D36" s="11">
        <f>'Ряд'!H37</f>
        <v/>
      </c>
      <c r="E36" s="12">
        <f>'Ряд'!M37</f>
        <v/>
      </c>
    </row>
    <row r="37">
      <c r="A37" s="6">
        <f>'Ряд'!A38</f>
        <v/>
      </c>
      <c r="B37" s="11">
        <f>'Ряд'!K38</f>
        <v/>
      </c>
      <c r="C37" s="11">
        <f>'Ряд'!L38</f>
        <v/>
      </c>
      <c r="D37" s="11">
        <f>'Ряд'!H38</f>
        <v/>
      </c>
      <c r="E37" s="12">
        <f>'Ряд'!M38</f>
        <v/>
      </c>
    </row>
    <row r="38">
      <c r="A38" s="6">
        <f>'Ряд'!A39</f>
        <v/>
      </c>
      <c r="B38" s="11">
        <f>'Ряд'!K39</f>
        <v/>
      </c>
      <c r="C38" s="11">
        <f>'Ряд'!L39</f>
        <v/>
      </c>
      <c r="D38" s="11">
        <f>'Ряд'!H39</f>
        <v/>
      </c>
      <c r="E38" s="12">
        <f>'Ряд'!M39</f>
        <v/>
      </c>
    </row>
    <row r="39">
      <c r="A39" s="6">
        <f>'Ряд'!A40</f>
        <v/>
      </c>
      <c r="B39" s="11">
        <f>'Ряд'!K40</f>
        <v/>
      </c>
      <c r="C39" s="11">
        <f>'Ряд'!L40</f>
        <v/>
      </c>
      <c r="D39" s="11">
        <f>'Ряд'!H40</f>
        <v/>
      </c>
      <c r="E39" s="12">
        <f>'Ряд'!M40</f>
        <v/>
      </c>
    </row>
    <row r="41">
      <c r="A41" s="51" t="inlineStr">
        <is>
          <t>Сработало</t>
        </is>
      </c>
      <c r="B41" s="53">
        <f>COUNTIF(E5:E39,"Займ")+COUNTIF(E5:E39,"СК")+COUNTIF(E5:E39,"оба")</f>
        <v/>
      </c>
      <c r="C41" s="61">
        <f>B41/35*100</f>
        <v/>
      </c>
      <c r="D41" s="62" t="inlineStr">
        <is>
          <t>из 35 приростов, %</t>
        </is>
      </c>
      <c r="E41" s="52" t="n"/>
    </row>
    <row r="43" ht="58" customHeight="1">
      <c r="A43" s="21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</sheetData>
  <mergeCells count="2">
    <mergeCell ref="A2:E2"/>
    <mergeCell ref="A43:E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Квартальный ряд кредитных метрик риск-аппетита</t>
        </is>
      </c>
    </row>
    <row r="2" ht="46" customHeight="1">
      <c r="A2" s="2" t="inlineStr">
        <is>
          <t>Источник: форма № 50 Приложения № 2 к Инструкции по формированию управленческой и финансовой отчётности, лист «Выводы» (форма 50-5), отчётная дата 01.07.2026. Строка топ-20 из той же формы сюда НЕ перенесена: она склеивает две базы капитала (скачок 75,6 → 92,7 на Q1 2026 есть смена знаменателя, а не движение риска), и σ по ней завышена вдвое. Топ-20 берётся из месячного ряда листа «Ряд».</t>
        </is>
      </c>
    </row>
    <row r="4" ht="30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Q2 2024</t>
        </is>
      </c>
      <c r="E4" s="5" t="inlineStr">
        <is>
          <t>Q3 2024</t>
        </is>
      </c>
      <c r="F4" s="5" t="inlineStr">
        <is>
          <t>Q4 2024</t>
        </is>
      </c>
      <c r="G4" s="5" t="inlineStr">
        <is>
          <t>Q1 2025</t>
        </is>
      </c>
      <c r="H4" s="5" t="inlineStr">
        <is>
          <t>Q2 2025</t>
        </is>
      </c>
      <c r="I4" s="5" t="inlineStr">
        <is>
          <t>Q3 2025</t>
        </is>
      </c>
      <c r="J4" s="5" t="inlineStr">
        <is>
          <t>Q4 2025</t>
        </is>
      </c>
      <c r="K4" s="5" t="inlineStr">
        <is>
          <t>Q1 2026</t>
        </is>
      </c>
      <c r="L4" s="5" t="inlineStr">
        <is>
          <t>Q2 2026</t>
        </is>
      </c>
      <c r="M4" s="5" t="inlineStr">
        <is>
          <t xml:space="preserve"> </t>
        </is>
      </c>
      <c r="N4" s="5" t="inlineStr">
        <is>
          <t>Δ1</t>
        </is>
      </c>
      <c r="O4" s="5" t="inlineStr">
        <is>
          <t>Δ2</t>
        </is>
      </c>
      <c r="P4" s="5" t="inlineStr">
        <is>
          <t>Δ3</t>
        </is>
      </c>
      <c r="Q4" s="5" t="inlineStr">
        <is>
          <t>Δ4</t>
        </is>
      </c>
      <c r="R4" s="5" t="inlineStr">
        <is>
          <t>Δ5</t>
        </is>
      </c>
      <c r="S4" s="5" t="inlineStr">
        <is>
          <t>Δ6</t>
        </is>
      </c>
      <c r="T4" s="5" t="inlineStr">
        <is>
          <t>Δ7</t>
        </is>
      </c>
      <c r="U4" s="5" t="inlineStr">
        <is>
          <t>Δ8</t>
        </is>
      </c>
    </row>
    <row r="5">
      <c r="A5" s="4" t="inlineStr">
        <is>
          <t>CoR — стоимость риска</t>
        </is>
      </c>
      <c r="B5" s="12" t="inlineStr">
        <is>
          <t>KB_PB</t>
        </is>
      </c>
      <c r="C5" s="11" t="n">
        <v>3</v>
      </c>
      <c r="D5" s="9" t="n">
        <v>-2.0902</v>
      </c>
      <c r="E5" s="9" t="n">
        <v>-1.9643</v>
      </c>
      <c r="F5" s="9" t="n">
        <v>-1.7727</v>
      </c>
      <c r="G5" s="9" t="n">
        <v>0.01</v>
      </c>
      <c r="H5" s="9" t="n">
        <v>-1.2848</v>
      </c>
      <c r="I5" s="9" t="n">
        <v>-0.9224</v>
      </c>
      <c r="J5" s="9" t="n">
        <v>-1</v>
      </c>
      <c r="K5" s="9" t="n">
        <v>-0.36</v>
      </c>
      <c r="L5" s="9" t="n">
        <v>-0.3458</v>
      </c>
      <c r="N5" s="9">
        <f>E5-D5</f>
        <v/>
      </c>
      <c r="O5" s="9">
        <f>F5-E5</f>
        <v/>
      </c>
      <c r="P5" s="9">
        <f>G5-F5</f>
        <v/>
      </c>
      <c r="Q5" s="9">
        <f>H5-G5</f>
        <v/>
      </c>
      <c r="R5" s="9">
        <f>I5-H5</f>
        <v/>
      </c>
      <c r="S5" s="9">
        <f>J5-I5</f>
        <v/>
      </c>
      <c r="T5" s="9">
        <f>K5-J5</f>
        <v/>
      </c>
      <c r="U5" s="9">
        <f>L5-K5</f>
        <v/>
      </c>
    </row>
    <row r="6">
      <c r="A6" s="4" t="inlineStr">
        <is>
          <t>CoR — стоимость риска</t>
        </is>
      </c>
      <c r="B6" s="12" t="inlineStr">
        <is>
          <t>MSB</t>
        </is>
      </c>
      <c r="C6" s="11" t="n">
        <v>3.5</v>
      </c>
      <c r="D6" s="9" t="n">
        <v>-0.8479</v>
      </c>
      <c r="E6" s="9" t="n">
        <v>-0.3506</v>
      </c>
      <c r="F6" s="9" t="n">
        <v>-0.6975</v>
      </c>
      <c r="G6" s="9" t="n">
        <v>-0.6975</v>
      </c>
      <c r="H6" s="9" t="n">
        <v>-2.0633</v>
      </c>
      <c r="I6" s="9" t="n">
        <v>-1.5076</v>
      </c>
      <c r="J6" s="9" t="n">
        <v>-0.98</v>
      </c>
      <c r="K6" s="9" t="n">
        <v>0.2</v>
      </c>
      <c r="L6" s="9" t="n">
        <v>0.2649</v>
      </c>
      <c r="N6" s="9">
        <f>E6-D6</f>
        <v/>
      </c>
      <c r="O6" s="9">
        <f>F6-E6</f>
        <v/>
      </c>
      <c r="P6" s="9">
        <f>G6-F6</f>
        <v/>
      </c>
      <c r="Q6" s="9">
        <f>H6-G6</f>
        <v/>
      </c>
      <c r="R6" s="9">
        <f>I6-H6</f>
        <v/>
      </c>
      <c r="S6" s="9">
        <f>J6-I6</f>
        <v/>
      </c>
      <c r="T6" s="9">
        <f>K6-J6</f>
        <v/>
      </c>
      <c r="U6" s="9">
        <f>L6-K6</f>
        <v/>
      </c>
    </row>
    <row r="7">
      <c r="A7" s="4" t="inlineStr">
        <is>
          <t>EL — ожидаемые потери, всего</t>
        </is>
      </c>
      <c r="B7" s="12" t="inlineStr">
        <is>
          <t>RB</t>
        </is>
      </c>
      <c r="C7" s="11" t="n">
        <v>9</v>
      </c>
      <c r="D7" s="9" t="n">
        <v>3.8605</v>
      </c>
      <c r="E7" s="9" t="n">
        <v>3.509</v>
      </c>
      <c r="F7" s="9" t="n">
        <v>3.0237</v>
      </c>
      <c r="G7" s="9" t="n">
        <v>2.8963</v>
      </c>
      <c r="H7" s="9" t="n">
        <v>2.8158</v>
      </c>
      <c r="I7" s="9" t="n">
        <v>2.6901</v>
      </c>
      <c r="J7" s="9" t="n">
        <v>2.615</v>
      </c>
      <c r="K7" s="9" t="n">
        <v>2.713</v>
      </c>
      <c r="L7" s="9" t="n">
        <v>2.7576</v>
      </c>
      <c r="N7" s="9">
        <f>E7-D7</f>
        <v/>
      </c>
      <c r="O7" s="9">
        <f>F7-E7</f>
        <v/>
      </c>
      <c r="P7" s="9">
        <f>G7-F7</f>
        <v/>
      </c>
      <c r="Q7" s="9">
        <f>H7-G7</f>
        <v/>
      </c>
      <c r="R7" s="9">
        <f>I7-H7</f>
        <v/>
      </c>
      <c r="S7" s="9">
        <f>J7-I7</f>
        <v/>
      </c>
      <c r="T7" s="9">
        <f>K7-J7</f>
        <v/>
      </c>
      <c r="U7" s="9">
        <f>L7-K7</f>
        <v/>
      </c>
    </row>
    <row r="8">
      <c r="A8" s="4" t="inlineStr">
        <is>
          <t>EL — необеспеченные</t>
        </is>
      </c>
      <c r="B8" s="12" t="inlineStr">
        <is>
          <t>RB</t>
        </is>
      </c>
      <c r="C8" s="11" t="n">
        <v>10</v>
      </c>
      <c r="D8" s="9" t="n">
        <v>7.909</v>
      </c>
      <c r="E8" s="9" t="n">
        <v>7.4644</v>
      </c>
      <c r="F8" s="9" t="n">
        <v>7.2344</v>
      </c>
      <c r="G8" s="9" t="n">
        <v>7.096</v>
      </c>
      <c r="H8" s="9" t="n">
        <v>7.0608</v>
      </c>
      <c r="I8" s="9" t="n">
        <v>7.0637</v>
      </c>
      <c r="J8" s="9" t="n">
        <v>7.0313</v>
      </c>
      <c r="K8" s="9" t="n">
        <v>7.0114</v>
      </c>
      <c r="L8" s="9" t="n">
        <v>7.5666</v>
      </c>
      <c r="N8" s="9">
        <f>E8-D8</f>
        <v/>
      </c>
      <c r="O8" s="9">
        <f>F8-E8</f>
        <v/>
      </c>
      <c r="P8" s="9">
        <f>G8-F8</f>
        <v/>
      </c>
      <c r="Q8" s="9">
        <f>H8-G8</f>
        <v/>
      </c>
      <c r="R8" s="9">
        <f>I8-H8</f>
        <v/>
      </c>
      <c r="S8" s="9">
        <f>J8-I8</f>
        <v/>
      </c>
      <c r="T8" s="9">
        <f>K8-J8</f>
        <v/>
      </c>
      <c r="U8" s="9">
        <f>L8-K8</f>
        <v/>
      </c>
    </row>
    <row r="9">
      <c r="A9" s="4" t="inlineStr">
        <is>
          <t>EL — обеспеченные</t>
        </is>
      </c>
      <c r="B9" s="12" t="inlineStr">
        <is>
          <t>RB</t>
        </is>
      </c>
      <c r="C9" s="11" t="n">
        <v>7</v>
      </c>
      <c r="D9" s="9" t="n">
        <v>1.5675</v>
      </c>
      <c r="E9" s="9" t="n">
        <v>1.4088</v>
      </c>
      <c r="F9" s="9" t="n">
        <v>1.3441</v>
      </c>
      <c r="G9" s="9" t="n">
        <v>1.3643</v>
      </c>
      <c r="H9" s="9" t="n">
        <v>1.3772</v>
      </c>
      <c r="I9" s="9" t="n">
        <v>1.3608</v>
      </c>
      <c r="J9" s="9" t="n">
        <v>1.4275</v>
      </c>
      <c r="K9" s="9" t="n">
        <v>1.5899</v>
      </c>
      <c r="L9" s="9" t="n">
        <v>1.636</v>
      </c>
      <c r="N9" s="9">
        <f>E9-D9</f>
        <v/>
      </c>
      <c r="O9" s="9">
        <f>F9-E9</f>
        <v/>
      </c>
      <c r="P9" s="9">
        <f>G9-F9</f>
        <v/>
      </c>
      <c r="Q9" s="9">
        <f>H9-G9</f>
        <v/>
      </c>
      <c r="R9" s="9">
        <f>I9-H9</f>
        <v/>
      </c>
      <c r="S9" s="9">
        <f>J9-I9</f>
        <v/>
      </c>
      <c r="T9" s="9">
        <f>K9-J9</f>
        <v/>
      </c>
      <c r="U9" s="9">
        <f>L9-K9</f>
        <v/>
      </c>
    </row>
    <row r="10">
      <c r="A10" s="4" t="inlineStr">
        <is>
          <t>EL — прочие</t>
        </is>
      </c>
      <c r="B10" s="12" t="inlineStr">
        <is>
          <t>RB</t>
        </is>
      </c>
      <c r="C10" s="11" t="n">
        <v>10</v>
      </c>
      <c r="D10" s="9" t="n">
        <v>3.2386</v>
      </c>
      <c r="E10" s="9" t="n">
        <v>2.8286</v>
      </c>
      <c r="F10" s="9" t="n">
        <v>2.6999</v>
      </c>
      <c r="G10" s="9" t="n">
        <v>2.6177</v>
      </c>
      <c r="H10" s="9" t="n">
        <v>2.5108</v>
      </c>
      <c r="I10" s="9" t="n">
        <v>2.5475</v>
      </c>
      <c r="J10" s="9" t="n">
        <v>2.4556</v>
      </c>
      <c r="K10" s="9" t="n">
        <v>2.2893</v>
      </c>
      <c r="L10" s="9" t="n">
        <v>2.4718</v>
      </c>
      <c r="N10" s="9">
        <f>E10-D10</f>
        <v/>
      </c>
      <c r="O10" s="9">
        <f>F10-E10</f>
        <v/>
      </c>
      <c r="P10" s="9">
        <f>G10-F10</f>
        <v/>
      </c>
      <c r="Q10" s="9">
        <f>H10-G10</f>
        <v/>
      </c>
      <c r="R10" s="9">
        <f>I10-H10</f>
        <v/>
      </c>
      <c r="S10" s="9">
        <f>J10-I10</f>
        <v/>
      </c>
      <c r="T10" s="9">
        <f>K10-J10</f>
        <v/>
      </c>
      <c r="U10" s="9">
        <f>L10-K10</f>
        <v/>
      </c>
    </row>
    <row r="11">
      <c r="A11" s="4" t="inlineStr">
        <is>
          <t>PD — необеспеченные</t>
        </is>
      </c>
      <c r="B11" s="12" t="inlineStr">
        <is>
          <t>RB</t>
        </is>
      </c>
      <c r="C11" s="11" t="n">
        <v>15</v>
      </c>
      <c r="D11" s="9" t="n">
        <v>12.1297</v>
      </c>
      <c r="E11" s="9" t="n">
        <v>12.0149</v>
      </c>
      <c r="F11" s="9" t="n">
        <v>11.7854</v>
      </c>
      <c r="G11" s="9" t="n">
        <v>11.5538</v>
      </c>
      <c r="H11" s="9" t="n">
        <v>11.4859</v>
      </c>
      <c r="I11" s="9" t="n">
        <v>11.4913</v>
      </c>
      <c r="J11" s="9" t="n">
        <v>11.2275</v>
      </c>
      <c r="K11" s="9" t="n">
        <v>11.0418</v>
      </c>
      <c r="L11" s="9" t="n">
        <v>10.9612</v>
      </c>
      <c r="N11" s="9">
        <f>E11-D11</f>
        <v/>
      </c>
      <c r="O11" s="9">
        <f>F11-E11</f>
        <v/>
      </c>
      <c r="P11" s="9">
        <f>G11-F11</f>
        <v/>
      </c>
      <c r="Q11" s="9">
        <f>H11-G11</f>
        <v/>
      </c>
      <c r="R11" s="9">
        <f>I11-H11</f>
        <v/>
      </c>
      <c r="S11" s="9">
        <f>J11-I11</f>
        <v/>
      </c>
      <c r="T11" s="9">
        <f>K11-J11</f>
        <v/>
      </c>
      <c r="U11" s="9">
        <f>L11-K11</f>
        <v/>
      </c>
    </row>
    <row r="12">
      <c r="A12" s="4" t="inlineStr">
        <is>
          <t>PD — необеспеченные, наличные</t>
        </is>
      </c>
      <c r="B12" s="12" t="inlineStr">
        <is>
          <t>RB</t>
        </is>
      </c>
      <c r="C12" s="11" t="n">
        <v>15</v>
      </c>
      <c r="D12" s="9" t="n">
        <v>12.273</v>
      </c>
      <c r="E12" s="9" t="n">
        <v>12.1698</v>
      </c>
      <c r="F12" s="9" t="n">
        <v>11.962</v>
      </c>
      <c r="G12" s="9" t="n">
        <v>11.7089</v>
      </c>
      <c r="H12" s="9" t="n">
        <v>11.6787</v>
      </c>
      <c r="I12" s="9" t="n">
        <v>11.717</v>
      </c>
      <c r="J12" s="9" t="n">
        <v>11.3418</v>
      </c>
      <c r="K12" s="9" t="n">
        <v>11.1281</v>
      </c>
      <c r="L12" s="9" t="n">
        <v>11.0461</v>
      </c>
      <c r="N12" s="9">
        <f>E12-D12</f>
        <v/>
      </c>
      <c r="O12" s="9">
        <f>F12-E12</f>
        <v/>
      </c>
      <c r="P12" s="9">
        <f>G12-F12</f>
        <v/>
      </c>
      <c r="Q12" s="9">
        <f>H12-G12</f>
        <v/>
      </c>
      <c r="R12" s="9">
        <f>I12-H12</f>
        <v/>
      </c>
      <c r="S12" s="9">
        <f>J12-I12</f>
        <v/>
      </c>
      <c r="T12" s="9">
        <f>K12-J12</f>
        <v/>
      </c>
      <c r="U12" s="9">
        <f>L12-K12</f>
        <v/>
      </c>
    </row>
    <row r="13">
      <c r="A13" s="4" t="inlineStr">
        <is>
          <t>PD — необеспеченные, товарные</t>
        </is>
      </c>
      <c r="B13" s="12" t="inlineStr">
        <is>
          <t>RB</t>
        </is>
      </c>
      <c r="C13" s="11" t="n">
        <v>15</v>
      </c>
      <c r="D13" s="9" t="n">
        <v>11.5958</v>
      </c>
      <c r="E13" s="9" t="n">
        <v>11.4065</v>
      </c>
      <c r="F13" s="9" t="n">
        <v>11.0036</v>
      </c>
      <c r="G13" s="9" t="n">
        <v>10.8888</v>
      </c>
      <c r="H13" s="9" t="n">
        <v>10.5721</v>
      </c>
      <c r="I13" s="9" t="n">
        <v>10.3809</v>
      </c>
      <c r="J13" s="9" t="n">
        <v>10.601</v>
      </c>
      <c r="K13" s="9" t="n">
        <v>10.6296</v>
      </c>
      <c r="L13" s="9" t="n">
        <v>10.5865</v>
      </c>
      <c r="N13" s="9">
        <f>E13-D13</f>
        <v/>
      </c>
      <c r="O13" s="9">
        <f>F13-E13</f>
        <v/>
      </c>
      <c r="P13" s="9">
        <f>G13-F13</f>
        <v/>
      </c>
      <c r="Q13" s="9">
        <f>H13-G13</f>
        <v/>
      </c>
      <c r="R13" s="9">
        <f>I13-H13</f>
        <v/>
      </c>
      <c r="S13" s="9">
        <f>J13-I13</f>
        <v/>
      </c>
      <c r="T13" s="9">
        <f>K13-J13</f>
        <v/>
      </c>
      <c r="U13" s="9">
        <f>L13-K13</f>
        <v/>
      </c>
    </row>
    <row r="14">
      <c r="A14" s="4" t="inlineStr">
        <is>
          <t>PD — обеспеченные</t>
        </is>
      </c>
      <c r="B14" s="12" t="inlineStr">
        <is>
          <t>RB</t>
        </is>
      </c>
      <c r="C14" s="11" t="n">
        <v>7</v>
      </c>
      <c r="D14" s="9" t="n">
        <v>5.3105</v>
      </c>
      <c r="E14" s="9" t="n">
        <v>5.2189</v>
      </c>
      <c r="F14" s="9" t="n">
        <v>5.0309</v>
      </c>
      <c r="G14" s="9" t="n">
        <v>5.0827</v>
      </c>
      <c r="H14" s="9" t="n">
        <v>5.1339</v>
      </c>
      <c r="I14" s="9" t="n">
        <v>5.1477</v>
      </c>
      <c r="J14" s="9" t="n">
        <v>5.0871</v>
      </c>
      <c r="K14" s="9" t="n">
        <v>5.0976</v>
      </c>
      <c r="L14" s="9" t="n">
        <v>5.015</v>
      </c>
      <c r="N14" s="9">
        <f>E14-D14</f>
        <v/>
      </c>
      <c r="O14" s="9">
        <f>F14-E14</f>
        <v/>
      </c>
      <c r="P14" s="9">
        <f>G14-F14</f>
        <v/>
      </c>
      <c r="Q14" s="9">
        <f>H14-G14</f>
        <v/>
      </c>
      <c r="R14" s="9">
        <f>I14-H14</f>
        <v/>
      </c>
      <c r="S14" s="9">
        <f>J14-I14</f>
        <v/>
      </c>
      <c r="T14" s="9">
        <f>K14-J14</f>
        <v/>
      </c>
      <c r="U14" s="9">
        <f>L14-K14</f>
        <v/>
      </c>
    </row>
    <row r="15">
      <c r="A15" s="4" t="inlineStr">
        <is>
          <t>PD — прочие</t>
        </is>
      </c>
      <c r="B15" s="12" t="inlineStr">
        <is>
          <t>RB</t>
        </is>
      </c>
      <c r="C15" s="11" t="n">
        <v>14</v>
      </c>
      <c r="D15" s="9" t="n">
        <v>4.8964</v>
      </c>
      <c r="E15" s="9" t="n">
        <v>4.5923</v>
      </c>
      <c r="F15" s="9" t="n">
        <v>4.4563</v>
      </c>
      <c r="G15" s="9" t="n">
        <v>4.3212</v>
      </c>
      <c r="H15" s="9" t="n">
        <v>4.1906</v>
      </c>
      <c r="I15" s="9" t="n">
        <v>4.2695</v>
      </c>
      <c r="J15" s="9" t="n">
        <v>4.0896</v>
      </c>
      <c r="K15" s="9" t="n">
        <v>3.7785</v>
      </c>
      <c r="L15" s="9" t="n">
        <v>3.655</v>
      </c>
      <c r="N15" s="9">
        <f>E15-D15</f>
        <v/>
      </c>
      <c r="O15" s="9">
        <f>F15-E15</f>
        <v/>
      </c>
      <c r="P15" s="9">
        <f>G15-F15</f>
        <v/>
      </c>
      <c r="Q15" s="9">
        <f>H15-G15</f>
        <v/>
      </c>
      <c r="R15" s="9">
        <f>I15-H15</f>
        <v/>
      </c>
      <c r="S15" s="9">
        <f>J15-I15</f>
        <v/>
      </c>
      <c r="T15" s="9">
        <f>K15-J15</f>
        <v/>
      </c>
      <c r="U15" s="9">
        <f>L15-K15</f>
        <v/>
      </c>
    </row>
  </sheetData>
  <mergeCells count="1"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7" customWidth="1" min="4" max="4"/>
    <col width="8" customWidth="1" min="5" max="5"/>
    <col width="9" customWidth="1" min="6" max="6"/>
    <col width="10" customWidth="1" min="7" max="7"/>
    <col width="10" customWidth="1" min="8" max="8"/>
    <col width="11" customWidth="1" min="9" max="9"/>
    <col width="12" customWidth="1" min="10" max="10"/>
    <col width="13" customWidth="1" min="11" max="11"/>
    <col width="14" customWidth="1" min="12" max="12"/>
    <col width="10" customWidth="1" min="13" max="13"/>
    <col width="11" customWidth="1" min="14" max="14"/>
    <col width="9" customWidth="1" min="15" max="15"/>
    <col width="9" customWidth="1" min="16" max="16"/>
  </cols>
  <sheetData>
    <row r="1">
      <c r="A1" s="1" t="inlineStr">
        <is>
          <t>Зоны по остальным кредитным метрикам</t>
        </is>
      </c>
    </row>
    <row r="2" ht="36" customHeight="1">
      <c r="A2" s="2" t="inlineStr">
        <is>
          <t>Границы те же, что на листе «Зоны»: зелёная до L − M(4), жёлтая до L − M(1), красная до лимита. Колонки «% лимита» — та же граница, выраженная как X = 1 − M(T)/L. Ряд и приросты — на листе «Метрики — ряд».</t>
        </is>
      </c>
    </row>
    <row r="4" ht="34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Точек</t>
        </is>
      </c>
      <c r="E4" s="5" t="inlineStr">
        <is>
          <t>Шаг, мес</t>
        </is>
      </c>
      <c r="F4" s="5" t="inlineStr">
        <is>
          <t>σ_Δ</t>
        </is>
      </c>
      <c r="G4" s="5" t="inlineStr">
        <is>
          <t>M(4 мес)</t>
        </is>
      </c>
      <c r="H4" s="5" t="inlineStr">
        <is>
          <t>M(1 мес)</t>
        </is>
      </c>
      <c r="I4" s="5" t="inlineStr">
        <is>
          <t>Зел./жёлт.</t>
        </is>
      </c>
      <c r="J4" s="5" t="inlineStr">
        <is>
          <t>Жёлт./красн.</t>
        </is>
      </c>
      <c r="K4" s="5" t="inlineStr">
        <is>
          <t>Зел./жёлт., % L</t>
        </is>
      </c>
      <c r="L4" s="5" t="inlineStr">
        <is>
          <t>Жёлт./красн., % L</t>
        </is>
      </c>
      <c r="M4" s="5" t="inlineStr">
        <is>
          <t>Факт</t>
        </is>
      </c>
      <c r="N4" s="5" t="inlineStr">
        <is>
          <t>Зона</t>
        </is>
      </c>
      <c r="O4" s="5" t="inlineStr">
        <is>
          <t>D, σ</t>
        </is>
      </c>
      <c r="P4" s="5" t="inlineStr">
        <is>
          <t>SE(σ)</t>
        </is>
      </c>
    </row>
    <row r="5">
      <c r="A5" s="51" t="inlineStr">
        <is>
          <t>Топ-20 / собственный капитал</t>
        </is>
      </c>
      <c r="B5" s="63" t="inlineStr">
        <is>
          <t>KB</t>
        </is>
      </c>
      <c r="C5" s="64">
        <f>'Расчёт'!D12</f>
        <v/>
      </c>
      <c r="D5" s="65">
        <f>'Расчёт'!D10</f>
        <v/>
      </c>
      <c r="E5" s="65">
        <f>1</f>
        <v/>
      </c>
      <c r="F5" s="64">
        <f>'Расчёт'!D6</f>
        <v/>
      </c>
      <c r="G5" s="64">
        <f>'Расчёт'!D28</f>
        <v/>
      </c>
      <c r="H5" s="64">
        <f>'Расчёт'!D16</f>
        <v/>
      </c>
      <c r="I5" s="64">
        <f>'Расчёт'!D29</f>
        <v/>
      </c>
      <c r="J5" s="64">
        <f>'Расчёт'!D17</f>
        <v/>
      </c>
      <c r="K5" s="64">
        <f>I5/C5*100</f>
        <v/>
      </c>
      <c r="L5" s="64">
        <f>J5/C5*100</f>
        <v/>
      </c>
      <c r="M5" s="64">
        <f>'Расчёт'!D8</f>
        <v/>
      </c>
      <c r="N5" s="66">
        <f>IF(M5&gt;=C5,"НАРУШЕНИЕ",IF(M5&gt;=J5,"КРАСНАЯ",IF(M5&gt;=I5,"ЖЁЛТАЯ","зелёная")))</f>
        <v/>
      </c>
      <c r="O5" s="67">
        <f>(C5-M5)/F5</f>
        <v/>
      </c>
      <c r="P5" s="64">
        <f>F5/SQRT(2*(D5-2))</f>
        <v/>
      </c>
    </row>
    <row r="6" ht="26" customHeight="1">
      <c r="A6" s="4">
        <f>'Метрики — ряд'!A5</f>
        <v/>
      </c>
      <c r="B6" s="12">
        <f>'Метрики — ряд'!B5</f>
        <v/>
      </c>
      <c r="C6" s="11">
        <f>'Метрики — ряд'!C5</f>
        <v/>
      </c>
      <c r="D6" s="68">
        <f>COUNT('Метрики — ряд'!D5:L5)</f>
        <v/>
      </c>
      <c r="E6" s="68" t="n">
        <v>3</v>
      </c>
      <c r="F6" s="9">
        <f>STDEV('Метрики — ряд'!N5:U5)</f>
        <v/>
      </c>
      <c r="G6" s="9">
        <f>z_p*F6*SQRT(4/E6)</f>
        <v/>
      </c>
      <c r="H6" s="9">
        <f>z_p*F6*SQRT(1/E6)</f>
        <v/>
      </c>
      <c r="I6" s="9">
        <f>C6-G6</f>
        <v/>
      </c>
      <c r="J6" s="9">
        <f>C6-H6</f>
        <v/>
      </c>
      <c r="K6" s="24">
        <f>I6/C6*100</f>
        <v/>
      </c>
      <c r="L6" s="24">
        <f>J6/C6*100</f>
        <v/>
      </c>
      <c r="M6" s="9">
        <f>'Метрики — ряд'!L5</f>
        <v/>
      </c>
      <c r="N6" s="69">
        <f>IF(M6&gt;=C6,"НАРУШЕНИЕ",IF(M6&gt;=J6,"КРАСНАЯ",IF(M6&gt;=I6,"ЖЁЛТАЯ","зелёная")))</f>
        <v/>
      </c>
      <c r="O6" s="11">
        <f>(C6-M6)/F6</f>
        <v/>
      </c>
      <c r="P6" s="9">
        <f>F6/SQRT(2*(D6-2))</f>
        <v/>
      </c>
    </row>
    <row r="7" ht="26" customHeight="1">
      <c r="A7" s="4">
        <f>'Метрики — ряд'!A6</f>
        <v/>
      </c>
      <c r="B7" s="12">
        <f>'Метрики — ряд'!B6</f>
        <v/>
      </c>
      <c r="C7" s="11">
        <f>'Метрики — ряд'!C6</f>
        <v/>
      </c>
      <c r="D7" s="68">
        <f>COUNT('Метрики — ряд'!D6:L6)</f>
        <v/>
      </c>
      <c r="E7" s="68" t="n">
        <v>3</v>
      </c>
      <c r="F7" s="9">
        <f>STDEV('Метрики — ряд'!N6:U6)</f>
        <v/>
      </c>
      <c r="G7" s="9">
        <f>z_p*F7*SQRT(4/E7)</f>
        <v/>
      </c>
      <c r="H7" s="9">
        <f>z_p*F7*SQRT(1/E7)</f>
        <v/>
      </c>
      <c r="I7" s="9">
        <f>C7-G7</f>
        <v/>
      </c>
      <c r="J7" s="9">
        <f>C7-H7</f>
        <v/>
      </c>
      <c r="K7" s="24">
        <f>I7/C7*100</f>
        <v/>
      </c>
      <c r="L7" s="24">
        <f>J7/C7*100</f>
        <v/>
      </c>
      <c r="M7" s="9">
        <f>'Метрики — ряд'!L6</f>
        <v/>
      </c>
      <c r="N7" s="69">
        <f>IF(M7&gt;=C7,"НАРУШЕНИЕ",IF(M7&gt;=J7,"КРАСНАЯ",IF(M7&gt;=I7,"ЖЁЛТАЯ","зелёная")))</f>
        <v/>
      </c>
      <c r="O7" s="11">
        <f>(C7-M7)/F7</f>
        <v/>
      </c>
      <c r="P7" s="9">
        <f>F7/SQRT(2*(D7-2))</f>
        <v/>
      </c>
    </row>
    <row r="8" ht="26" customHeight="1">
      <c r="A8" s="4">
        <f>'Метрики — ряд'!A7</f>
        <v/>
      </c>
      <c r="B8" s="12">
        <f>'Метрики — ряд'!B7</f>
        <v/>
      </c>
      <c r="C8" s="11">
        <f>'Метрики — ряд'!C7</f>
        <v/>
      </c>
      <c r="D8" s="68">
        <f>COUNT('Метрики — ряд'!D7:L7)</f>
        <v/>
      </c>
      <c r="E8" s="68" t="n">
        <v>3</v>
      </c>
      <c r="F8" s="9">
        <f>STDEV('Метрики — ряд'!N7:U7)</f>
        <v/>
      </c>
      <c r="G8" s="9">
        <f>z_p*F8*SQRT(4/E8)</f>
        <v/>
      </c>
      <c r="H8" s="9">
        <f>z_p*F8*SQRT(1/E8)</f>
        <v/>
      </c>
      <c r="I8" s="9">
        <f>C8-G8</f>
        <v/>
      </c>
      <c r="J8" s="9">
        <f>C8-H8</f>
        <v/>
      </c>
      <c r="K8" s="24">
        <f>I8/C8*100</f>
        <v/>
      </c>
      <c r="L8" s="24">
        <f>J8/C8*100</f>
        <v/>
      </c>
      <c r="M8" s="9">
        <f>'Метрики — ряд'!L7</f>
        <v/>
      </c>
      <c r="N8" s="69">
        <f>IF(M8&gt;=C8,"НАРУШЕНИЕ",IF(M8&gt;=J8,"КРАСНАЯ",IF(M8&gt;=I8,"ЖЁЛТАЯ","зелёная")))</f>
        <v/>
      </c>
      <c r="O8" s="11">
        <f>(C8-M8)/F8</f>
        <v/>
      </c>
      <c r="P8" s="9">
        <f>F8/SQRT(2*(D8-2))</f>
        <v/>
      </c>
    </row>
    <row r="9" ht="26" customHeight="1">
      <c r="A9" s="4">
        <f>'Метрики — ряд'!A8</f>
        <v/>
      </c>
      <c r="B9" s="12">
        <f>'Метрики — ряд'!B8</f>
        <v/>
      </c>
      <c r="C9" s="11">
        <f>'Метрики — ряд'!C8</f>
        <v/>
      </c>
      <c r="D9" s="68">
        <f>COUNT('Метрики — ряд'!D8:L8)</f>
        <v/>
      </c>
      <c r="E9" s="68" t="n">
        <v>3</v>
      </c>
      <c r="F9" s="9">
        <f>STDEV('Метрики — ряд'!N8:U8)</f>
        <v/>
      </c>
      <c r="G9" s="9">
        <f>z_p*F9*SQRT(4/E9)</f>
        <v/>
      </c>
      <c r="H9" s="9">
        <f>z_p*F9*SQRT(1/E9)</f>
        <v/>
      </c>
      <c r="I9" s="9">
        <f>C9-G9</f>
        <v/>
      </c>
      <c r="J9" s="9">
        <f>C9-H9</f>
        <v/>
      </c>
      <c r="K9" s="24">
        <f>I9/C9*100</f>
        <v/>
      </c>
      <c r="L9" s="24">
        <f>J9/C9*100</f>
        <v/>
      </c>
      <c r="M9" s="9">
        <f>'Метрики — ряд'!L8</f>
        <v/>
      </c>
      <c r="N9" s="69">
        <f>IF(M9&gt;=C9,"НАРУШЕНИЕ",IF(M9&gt;=J9,"КРАСНАЯ",IF(M9&gt;=I9,"ЖЁЛТАЯ","зелёная")))</f>
        <v/>
      </c>
      <c r="O9" s="11">
        <f>(C9-M9)/F9</f>
        <v/>
      </c>
      <c r="P9" s="9">
        <f>F9/SQRT(2*(D9-2))</f>
        <v/>
      </c>
    </row>
    <row r="10" ht="26" customHeight="1">
      <c r="A10" s="4">
        <f>'Метрики — ряд'!A9</f>
        <v/>
      </c>
      <c r="B10" s="12">
        <f>'Метрики — ряд'!B9</f>
        <v/>
      </c>
      <c r="C10" s="11">
        <f>'Метрики — ряд'!C9</f>
        <v/>
      </c>
      <c r="D10" s="68">
        <f>COUNT('Метрики — ряд'!D9:L9)</f>
        <v/>
      </c>
      <c r="E10" s="68" t="n">
        <v>3</v>
      </c>
      <c r="F10" s="9">
        <f>STDEV('Метрики — ряд'!N9:U9)</f>
        <v/>
      </c>
      <c r="G10" s="9">
        <f>z_p*F10*SQRT(4/E10)</f>
        <v/>
      </c>
      <c r="H10" s="9">
        <f>z_p*F10*SQRT(1/E10)</f>
        <v/>
      </c>
      <c r="I10" s="9">
        <f>C10-G10</f>
        <v/>
      </c>
      <c r="J10" s="9">
        <f>C10-H10</f>
        <v/>
      </c>
      <c r="K10" s="24">
        <f>I10/C10*100</f>
        <v/>
      </c>
      <c r="L10" s="24">
        <f>J10/C10*100</f>
        <v/>
      </c>
      <c r="M10" s="9">
        <f>'Метрики — ряд'!L9</f>
        <v/>
      </c>
      <c r="N10" s="69">
        <f>IF(M10&gt;=C10,"НАРУШЕНИЕ",IF(M10&gt;=J10,"КРАСНАЯ",IF(M10&gt;=I10,"ЖЁЛТАЯ","зелёная")))</f>
        <v/>
      </c>
      <c r="O10" s="11">
        <f>(C10-M10)/F10</f>
        <v/>
      </c>
      <c r="P10" s="9">
        <f>F10/SQRT(2*(D10-2))</f>
        <v/>
      </c>
    </row>
    <row r="11" ht="26" customHeight="1">
      <c r="A11" s="4">
        <f>'Метрики — ряд'!A10</f>
        <v/>
      </c>
      <c r="B11" s="12">
        <f>'Метрики — ряд'!B10</f>
        <v/>
      </c>
      <c r="C11" s="11">
        <f>'Метрики — ряд'!C10</f>
        <v/>
      </c>
      <c r="D11" s="68">
        <f>COUNT('Метрики — ряд'!D10:L10)</f>
        <v/>
      </c>
      <c r="E11" s="68" t="n">
        <v>3</v>
      </c>
      <c r="F11" s="9">
        <f>STDEV('Метрики — ряд'!N10:U10)</f>
        <v/>
      </c>
      <c r="G11" s="9">
        <f>z_p*F11*SQRT(4/E11)</f>
        <v/>
      </c>
      <c r="H11" s="9">
        <f>z_p*F11*SQRT(1/E11)</f>
        <v/>
      </c>
      <c r="I11" s="9">
        <f>C11-G11</f>
        <v/>
      </c>
      <c r="J11" s="9">
        <f>C11-H11</f>
        <v/>
      </c>
      <c r="K11" s="24">
        <f>I11/C11*100</f>
        <v/>
      </c>
      <c r="L11" s="24">
        <f>J11/C11*100</f>
        <v/>
      </c>
      <c r="M11" s="9">
        <f>'Метрики — ряд'!L10</f>
        <v/>
      </c>
      <c r="N11" s="69">
        <f>IF(M11&gt;=C11,"НАРУШЕНИЕ",IF(M11&gt;=J11,"КРАСНАЯ",IF(M11&gt;=I11,"ЖЁЛТАЯ","зелёная")))</f>
        <v/>
      </c>
      <c r="O11" s="11">
        <f>(C11-M11)/F11</f>
        <v/>
      </c>
      <c r="P11" s="9">
        <f>F11/SQRT(2*(D11-2))</f>
        <v/>
      </c>
    </row>
    <row r="12" ht="26" customHeight="1">
      <c r="A12" s="4">
        <f>'Метрики — ряд'!A11</f>
        <v/>
      </c>
      <c r="B12" s="12">
        <f>'Метрики — ряд'!B11</f>
        <v/>
      </c>
      <c r="C12" s="11">
        <f>'Метрики — ряд'!C11</f>
        <v/>
      </c>
      <c r="D12" s="68">
        <f>COUNT('Метрики — ряд'!D11:L11)</f>
        <v/>
      </c>
      <c r="E12" s="68" t="n">
        <v>3</v>
      </c>
      <c r="F12" s="9">
        <f>STDEV('Метрики — ряд'!N11:U11)</f>
        <v/>
      </c>
      <c r="G12" s="9">
        <f>z_p*F12*SQRT(4/E12)</f>
        <v/>
      </c>
      <c r="H12" s="9">
        <f>z_p*F12*SQRT(1/E12)</f>
        <v/>
      </c>
      <c r="I12" s="9">
        <f>C12-G12</f>
        <v/>
      </c>
      <c r="J12" s="9">
        <f>C12-H12</f>
        <v/>
      </c>
      <c r="K12" s="24">
        <f>I12/C12*100</f>
        <v/>
      </c>
      <c r="L12" s="24">
        <f>J12/C12*100</f>
        <v/>
      </c>
      <c r="M12" s="9">
        <f>'Метрики — ряд'!L11</f>
        <v/>
      </c>
      <c r="N12" s="69">
        <f>IF(M12&gt;=C12,"НАРУШЕНИЕ",IF(M12&gt;=J12,"КРАСНАЯ",IF(M12&gt;=I12,"ЖЁЛТАЯ","зелёная")))</f>
        <v/>
      </c>
      <c r="O12" s="11">
        <f>(C12-M12)/F12</f>
        <v/>
      </c>
      <c r="P12" s="9">
        <f>F12/SQRT(2*(D12-2))</f>
        <v/>
      </c>
    </row>
    <row r="13" ht="26" customHeight="1">
      <c r="A13" s="4">
        <f>'Метрики — ряд'!A12</f>
        <v/>
      </c>
      <c r="B13" s="12">
        <f>'Метрики — ряд'!B12</f>
        <v/>
      </c>
      <c r="C13" s="11">
        <f>'Метрики — ряд'!C12</f>
        <v/>
      </c>
      <c r="D13" s="68">
        <f>COUNT('Метрики — ряд'!D12:L12)</f>
        <v/>
      </c>
      <c r="E13" s="68" t="n">
        <v>3</v>
      </c>
      <c r="F13" s="9">
        <f>STDEV('Метрики — ряд'!N12:U12)</f>
        <v/>
      </c>
      <c r="G13" s="9">
        <f>z_p*F13*SQRT(4/E13)</f>
        <v/>
      </c>
      <c r="H13" s="9">
        <f>z_p*F13*SQRT(1/E13)</f>
        <v/>
      </c>
      <c r="I13" s="9">
        <f>C13-G13</f>
        <v/>
      </c>
      <c r="J13" s="9">
        <f>C13-H13</f>
        <v/>
      </c>
      <c r="K13" s="24">
        <f>I13/C13*100</f>
        <v/>
      </c>
      <c r="L13" s="24">
        <f>J13/C13*100</f>
        <v/>
      </c>
      <c r="M13" s="9">
        <f>'Метрики — ряд'!L12</f>
        <v/>
      </c>
      <c r="N13" s="69">
        <f>IF(M13&gt;=C13,"НАРУШЕНИЕ",IF(M13&gt;=J13,"КРАСНАЯ",IF(M13&gt;=I13,"ЖЁЛТАЯ","зелёная")))</f>
        <v/>
      </c>
      <c r="O13" s="11">
        <f>(C13-M13)/F13</f>
        <v/>
      </c>
      <c r="P13" s="9">
        <f>F13/SQRT(2*(D13-2))</f>
        <v/>
      </c>
    </row>
    <row r="14" ht="26" customHeight="1">
      <c r="A14" s="4">
        <f>'Метрики — ряд'!A13</f>
        <v/>
      </c>
      <c r="B14" s="12">
        <f>'Метрики — ряд'!B13</f>
        <v/>
      </c>
      <c r="C14" s="11">
        <f>'Метрики — ряд'!C13</f>
        <v/>
      </c>
      <c r="D14" s="68">
        <f>COUNT('Метрики — ряд'!D13:L13)</f>
        <v/>
      </c>
      <c r="E14" s="68" t="n">
        <v>3</v>
      </c>
      <c r="F14" s="9">
        <f>STDEV('Метрики — ряд'!N13:U13)</f>
        <v/>
      </c>
      <c r="G14" s="9">
        <f>z_p*F14*SQRT(4/E14)</f>
        <v/>
      </c>
      <c r="H14" s="9">
        <f>z_p*F14*SQRT(1/E14)</f>
        <v/>
      </c>
      <c r="I14" s="9">
        <f>C14-G14</f>
        <v/>
      </c>
      <c r="J14" s="9">
        <f>C14-H14</f>
        <v/>
      </c>
      <c r="K14" s="24">
        <f>I14/C14*100</f>
        <v/>
      </c>
      <c r="L14" s="24">
        <f>J14/C14*100</f>
        <v/>
      </c>
      <c r="M14" s="9">
        <f>'Метрики — ряд'!L13</f>
        <v/>
      </c>
      <c r="N14" s="69">
        <f>IF(M14&gt;=C14,"НАРУШЕНИЕ",IF(M14&gt;=J14,"КРАСНАЯ",IF(M14&gt;=I14,"ЖЁЛТАЯ","зелёная")))</f>
        <v/>
      </c>
      <c r="O14" s="11">
        <f>(C14-M14)/F14</f>
        <v/>
      </c>
      <c r="P14" s="9">
        <f>F14/SQRT(2*(D14-2))</f>
        <v/>
      </c>
    </row>
    <row r="15" ht="26" customHeight="1">
      <c r="A15" s="4">
        <f>'Метрики — ряд'!A14</f>
        <v/>
      </c>
      <c r="B15" s="12">
        <f>'Метрики — ряд'!B14</f>
        <v/>
      </c>
      <c r="C15" s="11">
        <f>'Метрики — ряд'!C14</f>
        <v/>
      </c>
      <c r="D15" s="68">
        <f>COUNT('Метрики — ряд'!D14:L14)</f>
        <v/>
      </c>
      <c r="E15" s="68" t="n">
        <v>3</v>
      </c>
      <c r="F15" s="9">
        <f>STDEV('Метрики — ряд'!N14:U14)</f>
        <v/>
      </c>
      <c r="G15" s="9">
        <f>z_p*F15*SQRT(4/E15)</f>
        <v/>
      </c>
      <c r="H15" s="9">
        <f>z_p*F15*SQRT(1/E15)</f>
        <v/>
      </c>
      <c r="I15" s="9">
        <f>C15-G15</f>
        <v/>
      </c>
      <c r="J15" s="9">
        <f>C15-H15</f>
        <v/>
      </c>
      <c r="K15" s="24">
        <f>I15/C15*100</f>
        <v/>
      </c>
      <c r="L15" s="24">
        <f>J15/C15*100</f>
        <v/>
      </c>
      <c r="M15" s="9">
        <f>'Метрики — ряд'!L14</f>
        <v/>
      </c>
      <c r="N15" s="69">
        <f>IF(M15&gt;=C15,"НАРУШЕНИЕ",IF(M15&gt;=J15,"КРАСНАЯ",IF(M15&gt;=I15,"ЖЁЛТАЯ","зелёная")))</f>
        <v/>
      </c>
      <c r="O15" s="11">
        <f>(C15-M15)/F15</f>
        <v/>
      </c>
      <c r="P15" s="9">
        <f>F15/SQRT(2*(D15-2))</f>
        <v/>
      </c>
    </row>
    <row r="16" ht="26" customHeight="1">
      <c r="A16" s="4">
        <f>'Метрики — ряд'!A15</f>
        <v/>
      </c>
      <c r="B16" s="12">
        <f>'Метрики — ряд'!B15</f>
        <v/>
      </c>
      <c r="C16" s="11">
        <f>'Метрики — ряд'!C15</f>
        <v/>
      </c>
      <c r="D16" s="68">
        <f>COUNT('Метрики — ряд'!D15:L15)</f>
        <v/>
      </c>
      <c r="E16" s="68" t="n">
        <v>3</v>
      </c>
      <c r="F16" s="9">
        <f>STDEV('Метрики — ряд'!N15:U15)</f>
        <v/>
      </c>
      <c r="G16" s="9">
        <f>z_p*F16*SQRT(4/E16)</f>
        <v/>
      </c>
      <c r="H16" s="9">
        <f>z_p*F16*SQRT(1/E16)</f>
        <v/>
      </c>
      <c r="I16" s="9">
        <f>C16-G16</f>
        <v/>
      </c>
      <c r="J16" s="9">
        <f>C16-H16</f>
        <v/>
      </c>
      <c r="K16" s="24">
        <f>I16/C16*100</f>
        <v/>
      </c>
      <c r="L16" s="24">
        <f>J16/C16*100</f>
        <v/>
      </c>
      <c r="M16" s="9">
        <f>'Метрики — ряд'!L15</f>
        <v/>
      </c>
      <c r="N16" s="69">
        <f>IF(M16&gt;=C16,"НАРУШЕНИЕ",IF(M16&gt;=J16,"КРАСНАЯ",IF(M16&gt;=I16,"ЖЁЛТАЯ","зелёная")))</f>
        <v/>
      </c>
      <c r="O16" s="11">
        <f>(C16-M16)/F16</f>
        <v/>
      </c>
      <c r="P16" s="9">
        <f>F16/SQRT(2*(D16-2))</f>
        <v/>
      </c>
    </row>
    <row r="18" ht="40" customHeight="1">
      <c r="A18" s="3" t="inlineStr">
        <is>
          <t>Единого процента не существует</t>
        </is>
      </c>
      <c r="B18" s="4" t="inlineStr">
        <is>
          <t>Колонка K разбегается от 58,0 %% (CoR) до 99,1 %% (PD необеспеченных). X = 1 − M(T)/L зависит от волатильности относительно лимита: у PD и EL σ крошечная, им граница нужна вплотную к лимиту; у CoR и топ-20 σ большая. Единый порог 85 %% для CoR поздний, для PD ранний в десять раз.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6" t="n"/>
    </row>
    <row r="19" ht="40" customHeight="1">
      <c r="A19" s="3" t="inlineStr">
        <is>
          <t>Одиннадцать метрик зелёные, и это правда</t>
        </is>
      </c>
      <c r="B19" s="4" t="inlineStr">
        <is>
          <t>Колонка O: расстояние до лимита 8,6–84,8 σ. Это не пробел в наблюдении, а факт — метрики не могут дойти до своих лимитов. Панель из одиннадцати зелёных ламп надо подавать именно так, а не как «всё под контролем».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6" t="n"/>
    </row>
    <row r="20" ht="40" customHeight="1">
      <c r="A20" s="3" t="inlineStr">
        <is>
          <t>σ известна с точностью около ±25 %%</t>
        </is>
      </c>
      <c r="B20" s="4" t="inlineStr">
        <is>
          <t>Колонка P — стандартная ошибка σ. При восьми приростах она около четверти самой σ, против 12 %% на месячном ряде топ-20. Границы у квартальных метрик известны с той же точностью.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6" t="n"/>
    </row>
    <row r="21" ht="40" customHeight="1">
      <c r="A21" s="3" t="inlineStr">
        <is>
          <t>Дрейф, которого формула не учитывает</t>
        </is>
      </c>
      <c r="B21" s="4" t="inlineStr">
        <is>
          <t>У PD необеспеченных средний квартальный прирост по модулю превышает весь буфер M(T). Ряды не блуждают, а падают монотонно; для тренда σ приростов измеряет наклон, а не волатильность. Допущение нулевого дрейфа, безвредное на топ-20, здесь не выполняется.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6" t="n"/>
    </row>
    <row r="22" ht="40" customHeight="1">
      <c r="A22" s="3" t="inlineStr">
        <is>
          <t>Лимитов-полов формула не умеет</t>
        </is>
      </c>
      <c r="B22" s="4" t="inlineStr">
        <is>
          <t>У кредитных метрик все лимиты — потолки, и расчёт верен. Для k1, LCR, NSFR опасность в падении, и границы должны считаться как L + M(T), а не L − M(T). Если панель станет общей по всем рискам, формула обязана знать направление.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6" t="n"/>
    </row>
  </sheetData>
  <mergeCells count="6">
    <mergeCell ref="B20:P20"/>
    <mergeCell ref="B19:P19"/>
    <mergeCell ref="A2:N2"/>
    <mergeCell ref="B22:P22"/>
    <mergeCell ref="B18:P18"/>
    <mergeCell ref="B21:P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2026-09-15T04:46:34Z</dcterms:created>
  <dcterms:modified xmlns:dcterms="http://purl.org/dc/terms/" xmlns:xsi="http://www.w3.org/2001/XMLSchema-instance" xsi:type="dcterms:W3CDTF">2026-09-15T04:46:34Z</dcterms:modified>
</cp:coreProperties>
</file>