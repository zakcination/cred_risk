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защищать" sheetId="1" state="visible" r:id="rId1"/>
    <sheet xmlns:r="http://schemas.openxmlformats.org/officeDocument/2006/relationships" name="Ряд" sheetId="2" state="visible" r:id="rId2"/>
    <sheet xmlns:r="http://schemas.openxmlformats.org/officeDocument/2006/relationships" name="Параметры" sheetId="3" state="visible" r:id="rId3"/>
    <sheet xmlns:r="http://schemas.openxmlformats.org/officeDocument/2006/relationships" name="Расчёт" sheetId="4" state="visible" r:id="rId4"/>
    <sheet xmlns:r="http://schemas.openxmlformats.org/officeDocument/2006/relationships" name="Три сигмы" sheetId="5" state="visible" r:id="rId5"/>
    <sheet xmlns:r="http://schemas.openxmlformats.org/officeDocument/2006/relationships" name="Триггеры" sheetId="6" state="visible" r:id="rId6"/>
  </sheets>
  <definedNames>
    <definedName name="v">'Ряд'!$E$5:$E$40</definedName>
    <definedName name="d">'Ряд'!$F$6:$F$40</definedName>
    <definedName name="dB">'Ряд'!$J$6:$J$40</definedName>
    <definedName name="z_90">'Параметры'!$C$5</definedName>
    <definedName name="k_G26">'Параметры'!$C$6</definedName>
    <definedName name="L_reg">'Параметры'!$C$7</definedName>
    <definedName name="T_cikl">'Параметры'!$C$8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#,##0.0"/>
    <numFmt numFmtId="165" formatCode="0.00000000"/>
    <numFmt numFmtId="166" formatCode="0.0000"/>
    <numFmt numFmtId="167" formatCode="0.000000"/>
    <numFmt numFmtId="168" formatCode="0.00000"/>
    <numFmt numFmtId="169" formatCode="0.0"/>
    <numFmt numFmtId="170" formatCode="0.000"/>
    <numFmt numFmtId="171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FF0B0B0B"/>
      <sz val="14"/>
    </font>
    <font>
      <name val="Calibri"/>
      <color rgb="FF6B6A66"/>
      <sz val="9"/>
    </font>
    <font>
      <name val="Calibri"/>
      <b val="1"/>
      <color rgb="FF0B0B0B"/>
      <sz val="10"/>
    </font>
    <font>
      <name val="Calibri"/>
      <color rgb="FF0B0B0B"/>
      <sz val="10"/>
    </font>
    <font>
      <name val="Calibri"/>
      <b val="1"/>
      <color rgb="FF0B0B0B"/>
      <sz val="11"/>
    </font>
    <font>
      <name val="Consolas"/>
      <color rgb="FF6B6A66"/>
      <sz val="9"/>
    </font>
  </fonts>
  <fills count="5">
    <fill>
      <patternFill/>
    </fill>
    <fill>
      <patternFill patternType="gray125"/>
    </fill>
    <fill>
      <patternFill patternType="solid">
        <fgColor rgb="FFEDEBE3"/>
      </patternFill>
    </fill>
    <fill>
      <patternFill patternType="solid">
        <fgColor rgb="FFFFF4D6"/>
      </patternFill>
    </fill>
    <fill>
      <patternFill patternType="solid">
        <fgColor rgb="FFF6F5F0"/>
      </patternFill>
    </fill>
  </fills>
  <borders count="6">
    <border>
      <left/>
      <right/>
      <top/>
      <bottom/>
      <diagonal/>
    </border>
    <border>
      <left style="thin">
        <color rgb="FFD8D6CC"/>
      </left>
      <right style="thin">
        <color rgb="FFD8D6CC"/>
      </right>
      <top style="thin">
        <color rgb="FFD8D6CC"/>
      </top>
      <bottom style="thin">
        <color rgb="FFD8D6CC"/>
      </bottom>
    </border>
    <border>
      <left/>
      <right/>
      <top style="thin">
        <color rgb="FFD8D6CC"/>
      </top>
      <bottom/>
      <diagonal/>
    </border>
    <border>
      <left/>
      <right style="thin">
        <color rgb="FFD8D6CC"/>
      </right>
      <top style="thin">
        <color rgb="FFD8D6CC"/>
      </top>
      <bottom/>
      <diagonal/>
    </border>
    <border>
      <left/>
      <right/>
      <top style="thin">
        <color rgb="FFD8D6CC"/>
      </top>
      <bottom style="thin">
        <color rgb="FFD8D6CC"/>
      </bottom>
      <diagonal/>
    </border>
    <border>
      <left/>
      <right style="thin">
        <color rgb="FFD8D6CC"/>
      </right>
      <top style="thin">
        <color rgb="FFD8D6CC"/>
      </top>
      <bottom style="thin">
        <color rgb="FFD8D6CC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bottom" wrapText="1"/>
    </xf>
    <xf numFmtId="0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165" fontId="4" fillId="0" borderId="1" applyAlignment="1" pivotButton="0" quotePrefix="0" xfId="0">
      <alignment vertical="top"/>
    </xf>
    <xf numFmtId="166" fontId="4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2" fontId="4" fillId="0" borderId="1" applyAlignment="1" pivotButton="0" quotePrefix="0" xfId="0">
      <alignment vertical="top"/>
    </xf>
    <xf numFmtId="1" fontId="4" fillId="0" borderId="1" applyAlignment="1" pivotButton="0" quotePrefix="0" xfId="0">
      <alignment vertical="top"/>
    </xf>
    <xf numFmtId="1" fontId="4" fillId="3" borderId="1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2" borderId="1" applyAlignment="1" pivotButton="0" quotePrefix="0" xfId="0">
      <alignment vertical="top"/>
    </xf>
    <xf numFmtId="167" fontId="5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168" fontId="5" fillId="0" borderId="1" applyAlignment="1" pivotButton="0" quotePrefix="0" xfId="0">
      <alignment vertical="top"/>
    </xf>
    <xf numFmtId="2" fontId="5" fillId="0" borderId="1" applyAlignment="1" pivotButton="0" quotePrefix="0" xfId="0">
      <alignment vertical="top"/>
    </xf>
    <xf numFmtId="1" fontId="5" fillId="0" borderId="1" applyAlignment="1" pivotButton="0" quotePrefix="0" xfId="0">
      <alignment vertical="top"/>
    </xf>
    <xf numFmtId="169" fontId="5" fillId="0" borderId="1" applyAlignment="1" pivotButton="0" quotePrefix="0" xfId="0">
      <alignment vertical="top"/>
    </xf>
    <xf numFmtId="0" fontId="5" fillId="4" borderId="0" applyAlignment="1" pivotButton="0" quotePrefix="0" xfId="0">
      <alignment vertical="top"/>
    </xf>
    <xf numFmtId="0" fontId="4" fillId="4" borderId="0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166" fontId="5" fillId="0" borderId="1" applyAlignment="1" pivotButton="0" quotePrefix="0" xfId="0">
      <alignment vertical="top"/>
    </xf>
    <xf numFmtId="167" fontId="4" fillId="0" borderId="1" applyAlignment="1" pivotButton="0" quotePrefix="0" xfId="0">
      <alignment vertical="top"/>
    </xf>
    <xf numFmtId="0" fontId="4" fillId="0" borderId="1" applyAlignment="1" pivotButton="0" quotePrefix="0" xfId="0">
      <alignment horizontal="center" vertical="top"/>
    </xf>
    <xf numFmtId="169" fontId="4" fillId="0" borderId="1" applyAlignment="1" pivotButton="0" quotePrefix="0" xfId="0">
      <alignment vertical="top"/>
    </xf>
    <xf numFmtId="170" fontId="5" fillId="0" borderId="1" applyAlignment="1" pivotButton="0" quotePrefix="0" xfId="0">
      <alignment vertical="top"/>
    </xf>
    <xf numFmtId="170" fontId="4" fillId="0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1" fontId="5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vertical="top"/>
    </xf>
    <xf numFmtId="171" fontId="4" fillId="0" borderId="1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169" fontId="5" fillId="4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104" customWidth="1" min="2" max="2"/>
  </cols>
  <sheetData>
    <row r="1">
      <c r="A1" s="1" t="inlineStr">
        <is>
          <t>Расчётный лист по топ-20: как им пользоваться на комитете</t>
        </is>
      </c>
    </row>
    <row r="2" ht="28" customHeight="1">
      <c r="A2" s="2" t="inlineStr">
        <is>
          <t>Собрано 14.09.2026 из data/top20_monthly_2023_08_2026_07.csv. Книга собирается build/raschet_list.py — правки вносятся в скрипт, а не в готовый файл.</t>
        </is>
      </c>
    </row>
    <row r="4" ht="52" customHeight="1">
      <c r="A4" s="3" t="inlineStr">
        <is>
          <t>Что в книге</t>
        </is>
      </c>
      <c r="B4" s="4" t="inlineStr">
        <is>
          <t>Лист «Ряд» — 36 точек и всё, что считается построчно. Лист «Параметры» — четыре входа, которые не выводятся из ряда. Лист «Расчёт» — каждое опубликованное число живой формулой, рядом напечатанное значение и расхождение. Лист «Три сигмы» — ответ на самый неудобный вопрос к таблице методов. Лист «Триггеры» — все 35 приростов, а не выбранные шесть.</t>
        </is>
      </c>
    </row>
    <row r="5" ht="44" customHeight="1">
      <c r="A5" s="3" t="inlineStr">
        <is>
          <t>Главное свойство</t>
        </is>
      </c>
      <c r="B5" s="4" t="inlineStr">
        <is>
          <t>В книге нет ни одного вбитого руками результата. Любое число на слайде выделяется в колонке D листа «Расчёт», и в строке формул видно, из чего оно получено. Если кто-то не согласен с параметром — он меняется на листе «Параметры», и вся книга пересчитывается при нём.</t>
        </is>
      </c>
    </row>
    <row r="6" ht="52" customHeight="1">
      <c r="A6" s="3" t="inlineStr">
        <is>
          <t>Ответ на «откуда 108,63»</t>
        </is>
      </c>
      <c r="B6" s="4" t="inlineStr">
        <is>
          <t>Уровень 95 % задан в регуляторной базе капитала. С 01.01.2026 знаменатель метрики — балансовый капитал (Г26), и k = 0,87453 есть отношение баз. 108,63 — тот же самый уровень, выраженный в новой базе. Второй, независимый путь: квантиль 90 % ряда плюс запас на три месяца даёт 108,58. Сходимость двух путей на 0,05 пп и есть довод, что уровень не подогнан.</t>
        </is>
      </c>
    </row>
    <row r="7" ht="52" customHeight="1">
      <c r="A7" s="3" t="inlineStr">
        <is>
          <t>Ответ на «почему T = 3»</t>
        </is>
      </c>
      <c r="B7" s="4" t="inlineStr">
        <is>
          <t>Честный: длина цикла решения не измерена и в регламенте не закреплена. Это записано как незакрытый пункт, а не спрятано. Поставьте на листе «Параметры» T = 2 или T = 4 — видно, что уровень двигается примерно на 1,4–1,5 пп за месяц цикла, и станет предметен разговор о том, сколько на самом деле занимает решение.</t>
        </is>
      </c>
    </row>
    <row r="8" ht="44" customHeight="1">
      <c r="A8" s="3" t="inlineStr">
        <is>
          <t>Ответ на «а если ничего не менять»</t>
        </is>
      </c>
      <c r="B8" s="4" t="inlineStr">
        <is>
          <t>Лист «Расчёт», блок 7. При сохранении уровня 95 % жёлтая линия ложится на 85,97, и выше неё оказывается 31 наблюдение из 36. Светофор с постоянно горящей лампой не является системой раннего предупреждения.</t>
        </is>
      </c>
    </row>
    <row r="9" ht="44" customHeight="1">
      <c r="A9" s="3" t="inlineStr">
        <is>
          <t>Три места, где книга слаба — сказать самому</t>
        </is>
      </c>
      <c r="B9" s="4" t="inlineStr">
        <is>
          <t>Р-Д1: в таблице методов три разные σ, и у метода B определение восстановлено обратным счётом (лист «Три сигмы»). Р-Д2: ряд обрывается на 01.07.2026, то есть на дату записки 30.09 факт отстаёт на три месяца. Р-Д3: доля времени в процентах от 36 наблюдений читается точнее, чем есть.</t>
        </is>
      </c>
    </row>
    <row r="10" ht="44" customHeight="1">
      <c r="A10" s="3" t="inlineStr">
        <is>
          <t>Чего книга не доказывает</t>
        </is>
      </c>
      <c r="B10" s="4" t="inlineStr">
        <is>
          <t>Что формулы верны по существу. Она доказывает ровно одно: числа получены из ряда объявленными формулами. Верна ли формула, тот ли ряд, та ли метрика — из воспроизводимости не следует.</t>
        </is>
      </c>
    </row>
  </sheetData>
  <mergeCells count="1"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4" customWidth="1" min="4" max="4"/>
    <col width="15" customWidth="1" min="5" max="5"/>
    <col width="15" customWidth="1" min="6" max="6"/>
    <col width="10" customWidth="1" min="7" max="7"/>
    <col width="11" customWidth="1" min="8" max="8"/>
    <col width="13" customWidth="1" min="9" max="9"/>
    <col width="14" customWidth="1" min="10" max="10"/>
    <col width="13" customWidth="1" min="11" max="11"/>
  </cols>
  <sheetData>
    <row r="1">
      <c r="A1" s="1" t="inlineStr">
        <is>
          <t>Ряд топ-20: 36 месячных точек, 01.08.2023 — 01.07.2026</t>
        </is>
      </c>
    </row>
    <row r="2" ht="28" customHeight="1">
      <c r="A2" s="2" t="inlineStr">
        <is>
          <t>Источник: data/top20_monthly_2023_08_2026_07.csv, дамп листа Monthly рабочей книги 08.09.2026 (DECOMPOSITION § 11.7). Колонки A–D — как в выгрузке, E–K — расчёт.</t>
        </is>
      </c>
    </row>
    <row r="4" ht="30" customHeight="1">
      <c r="A4" s="5" t="inlineStr">
        <is>
          <t>Дата</t>
        </is>
      </c>
      <c r="B4" s="5" t="inlineStr">
        <is>
          <t>Займ топ-20, млн ₸</t>
        </is>
      </c>
      <c r="C4" s="5" t="inlineStr">
        <is>
          <t>СК балансовый, млн ₸</t>
        </is>
      </c>
      <c r="D4" s="5" t="inlineStr">
        <is>
          <t>coef_new (доля)</t>
        </is>
      </c>
      <c r="E4" s="5" t="inlineStr">
        <is>
          <t>v = coef_new × 100</t>
        </is>
      </c>
      <c r="F4" s="5" t="inlineStr">
        <is>
          <t>Δ = v(t) − v(t−1)</t>
        </is>
      </c>
      <c r="G4" s="5" t="inlineStr">
        <is>
          <t>ΔСК, %</t>
        </is>
      </c>
      <c r="H4" s="5" t="inlineStr">
        <is>
          <t>ΔЗайм, %</t>
        </is>
      </c>
      <c r="I4" s="5" t="inlineStr">
        <is>
          <t>В базе метода B</t>
        </is>
      </c>
      <c r="J4" s="5" t="inlineStr">
        <is>
          <t>Δ для метода B</t>
        </is>
      </c>
      <c r="K4" s="5" t="inlineStr">
        <is>
          <t>Триггер</t>
        </is>
      </c>
    </row>
    <row r="5">
      <c r="A5" s="6" t="inlineStr">
        <is>
          <t>2023-08-01</t>
        </is>
      </c>
      <c r="B5" s="7" t="n">
        <v>323730.9</v>
      </c>
      <c r="C5" s="7" t="n">
        <v>322505.417</v>
      </c>
      <c r="D5" s="8" t="n">
        <v>1.003799883</v>
      </c>
      <c r="E5" s="9">
        <f>D5*100</f>
        <v/>
      </c>
      <c r="F5" s="10" t="inlineStr">
        <is>
          <t>—</t>
        </is>
      </c>
      <c r="G5" s="10" t="inlineStr">
        <is>
          <t>—</t>
        </is>
      </c>
      <c r="H5" s="10" t="inlineStr">
        <is>
          <t>—</t>
        </is>
      </c>
      <c r="I5" s="10" t="inlineStr">
        <is>
          <t>—</t>
        </is>
      </c>
      <c r="J5" s="10" t="inlineStr">
        <is>
          <t>—</t>
        </is>
      </c>
      <c r="K5" s="10" t="inlineStr">
        <is>
          <t>—</t>
        </is>
      </c>
    </row>
    <row r="6">
      <c r="A6" s="6" t="inlineStr">
        <is>
          <t>2023-09-01</t>
        </is>
      </c>
      <c r="B6" s="7" t="n">
        <v>323218.4</v>
      </c>
      <c r="C6" s="7" t="n">
        <v>331426.59</v>
      </c>
      <c r="D6" s="8" t="n">
        <v>0.9752337614</v>
      </c>
      <c r="E6" s="9">
        <f>D6*100</f>
        <v/>
      </c>
      <c r="F6" s="9">
        <f>E6-E5</f>
        <v/>
      </c>
      <c r="G6" s="11">
        <f>(C6-C5)/C5*100</f>
        <v/>
      </c>
      <c r="H6" s="11">
        <f>(B6-B5)/B5*100</f>
        <v/>
      </c>
      <c r="I6" s="12" t="n">
        <v>1</v>
      </c>
      <c r="J6" s="9">
        <f>IF(I6=1,F6,"")</f>
        <v/>
      </c>
      <c r="K6" s="6">
        <f>IF(AND(G6&lt;=-3,H6&gt;=5),"оба",IF(G6&lt;=-3,"СК",IF(H6&gt;=5,"Займ","")))</f>
        <v/>
      </c>
    </row>
    <row r="7">
      <c r="A7" s="6" t="inlineStr">
        <is>
          <t>2023-10-01</t>
        </is>
      </c>
      <c r="B7" s="7" t="n">
        <v>327285</v>
      </c>
      <c r="C7" s="7" t="n">
        <v>339057.933</v>
      </c>
      <c r="D7" s="8" t="n">
        <v>0.9652775179</v>
      </c>
      <c r="E7" s="9">
        <f>D7*100</f>
        <v/>
      </c>
      <c r="F7" s="9">
        <f>E7-E6</f>
        <v/>
      </c>
      <c r="G7" s="11">
        <f>(C7-C6)/C6*100</f>
        <v/>
      </c>
      <c r="H7" s="11">
        <f>(B7-B6)/B6*100</f>
        <v/>
      </c>
      <c r="I7" s="12" t="n">
        <v>1</v>
      </c>
      <c r="J7" s="9">
        <f>IF(I7=1,F7,"")</f>
        <v/>
      </c>
      <c r="K7" s="6">
        <f>IF(AND(G7&lt;=-3,H7&gt;=5),"оба",IF(G7&lt;=-3,"СК",IF(H7&gt;=5,"Займ","")))</f>
        <v/>
      </c>
    </row>
    <row r="8">
      <c r="A8" s="6" t="inlineStr">
        <is>
          <t>2023-11-01</t>
        </is>
      </c>
      <c r="B8" s="7" t="n">
        <v>338817.1</v>
      </c>
      <c r="C8" s="7" t="n">
        <v>348167.431</v>
      </c>
      <c r="D8" s="8" t="n">
        <v>0.9731441537</v>
      </c>
      <c r="E8" s="9">
        <f>D8*100</f>
        <v/>
      </c>
      <c r="F8" s="9">
        <f>E8-E7</f>
        <v/>
      </c>
      <c r="G8" s="11">
        <f>(C8-C7)/C7*100</f>
        <v/>
      </c>
      <c r="H8" s="11">
        <f>(B8-B7)/B7*100</f>
        <v/>
      </c>
      <c r="I8" s="12" t="n">
        <v>1</v>
      </c>
      <c r="J8" s="9">
        <f>IF(I8=1,F8,"")</f>
        <v/>
      </c>
      <c r="K8" s="6">
        <f>IF(AND(G8&lt;=-3,H8&gt;=5),"оба",IF(G8&lt;=-3,"СК",IF(H8&gt;=5,"Займ","")))</f>
        <v/>
      </c>
    </row>
    <row r="9">
      <c r="A9" s="6" t="inlineStr">
        <is>
          <t>2023-12-01</t>
        </is>
      </c>
      <c r="B9" s="7" t="n">
        <v>343497.7</v>
      </c>
      <c r="C9" s="7" t="n">
        <v>353304.973</v>
      </c>
      <c r="D9" s="8" t="n">
        <v>0.9722413389</v>
      </c>
      <c r="E9" s="9">
        <f>D9*100</f>
        <v/>
      </c>
      <c r="F9" s="9">
        <f>E9-E8</f>
        <v/>
      </c>
      <c r="G9" s="11">
        <f>(C9-C8)/C8*100</f>
        <v/>
      </c>
      <c r="H9" s="11">
        <f>(B9-B8)/B8*100</f>
        <v/>
      </c>
      <c r="I9" s="12" t="n">
        <v>1</v>
      </c>
      <c r="J9" s="9">
        <f>IF(I9=1,F9,"")</f>
        <v/>
      </c>
      <c r="K9" s="6">
        <f>IF(AND(G9&lt;=-3,H9&gt;=5),"оба",IF(G9&lt;=-3,"СК",IF(H9&gt;=5,"Займ","")))</f>
        <v/>
      </c>
    </row>
    <row r="10">
      <c r="A10" s="6" t="inlineStr">
        <is>
          <t>2024-01-01</t>
        </is>
      </c>
      <c r="B10" s="7" t="n">
        <v>372019.3</v>
      </c>
      <c r="C10" s="7" t="n">
        <v>351291.897</v>
      </c>
      <c r="D10" s="8" t="n">
        <v>1.059003362</v>
      </c>
      <c r="E10" s="9">
        <f>D10*100</f>
        <v/>
      </c>
      <c r="F10" s="9">
        <f>E10-E9</f>
        <v/>
      </c>
      <c r="G10" s="11">
        <f>(C10-C9)/C9*100</f>
        <v/>
      </c>
      <c r="H10" s="11">
        <f>(B10-B9)/B9*100</f>
        <v/>
      </c>
      <c r="I10" s="13" t="n">
        <v>0</v>
      </c>
      <c r="J10" s="9">
        <f>IF(I10=1,F10,"")</f>
        <v/>
      </c>
      <c r="K10" s="6">
        <f>IF(AND(G10&lt;=-3,H10&gt;=5),"оба",IF(G10&lt;=-3,"СК",IF(H10&gt;=5,"Займ","")))</f>
        <v/>
      </c>
    </row>
    <row r="11">
      <c r="A11" s="6" t="inlineStr">
        <is>
          <t>2024-02-01</t>
        </is>
      </c>
      <c r="B11" s="7" t="n">
        <v>359821.6</v>
      </c>
      <c r="C11" s="7" t="n">
        <v>364498.163</v>
      </c>
      <c r="D11" s="8" t="n">
        <v>0.9871698585000001</v>
      </c>
      <c r="E11" s="9">
        <f>D11*100</f>
        <v/>
      </c>
      <c r="F11" s="9">
        <f>E11-E10</f>
        <v/>
      </c>
      <c r="G11" s="11">
        <f>(C11-C10)/C10*100</f>
        <v/>
      </c>
      <c r="H11" s="11">
        <f>(B11-B10)/B10*100</f>
        <v/>
      </c>
      <c r="I11" s="13" t="n">
        <v>0</v>
      </c>
      <c r="J11" s="9">
        <f>IF(I11=1,F11,"")</f>
        <v/>
      </c>
      <c r="K11" s="6">
        <f>IF(AND(G11&lt;=-3,H11&gt;=5),"оба",IF(G11&lt;=-3,"СК",IF(H11&gt;=5,"Займ","")))</f>
        <v/>
      </c>
    </row>
    <row r="12">
      <c r="A12" s="6" t="inlineStr">
        <is>
          <t>2024-03-01</t>
        </is>
      </c>
      <c r="B12" s="7" t="n">
        <v>371215.4</v>
      </c>
      <c r="C12" s="7" t="n">
        <v>384072.879</v>
      </c>
      <c r="D12" s="8" t="n">
        <v>0.9665233353</v>
      </c>
      <c r="E12" s="9">
        <f>D12*100</f>
        <v/>
      </c>
      <c r="F12" s="9">
        <f>E12-E11</f>
        <v/>
      </c>
      <c r="G12" s="11">
        <f>(C12-C11)/C11*100</f>
        <v/>
      </c>
      <c r="H12" s="11">
        <f>(B12-B11)/B11*100</f>
        <v/>
      </c>
      <c r="I12" s="12" t="n">
        <v>1</v>
      </c>
      <c r="J12" s="9">
        <f>IF(I12=1,F12,"")</f>
        <v/>
      </c>
      <c r="K12" s="6">
        <f>IF(AND(G12&lt;=-3,H12&gt;=5),"оба",IF(G12&lt;=-3,"СК",IF(H12&gt;=5,"Займ","")))</f>
        <v/>
      </c>
    </row>
    <row r="13">
      <c r="A13" s="6" t="inlineStr">
        <is>
          <t>2024-04-01</t>
        </is>
      </c>
      <c r="B13" s="7" t="n">
        <v>363473</v>
      </c>
      <c r="C13" s="7" t="n">
        <v>396208.88</v>
      </c>
      <c r="D13" s="8" t="n">
        <v>0.9173772178</v>
      </c>
      <c r="E13" s="9">
        <f>D13*100</f>
        <v/>
      </c>
      <c r="F13" s="9">
        <f>E13-E12</f>
        <v/>
      </c>
      <c r="G13" s="11">
        <f>(C13-C12)/C12*100</f>
        <v/>
      </c>
      <c r="H13" s="11">
        <f>(B13-B12)/B12*100</f>
        <v/>
      </c>
      <c r="I13" s="12" t="n">
        <v>1</v>
      </c>
      <c r="J13" s="9">
        <f>IF(I13=1,F13,"")</f>
        <v/>
      </c>
      <c r="K13" s="6">
        <f>IF(AND(G13&lt;=-3,H13&gt;=5),"оба",IF(G13&lt;=-3,"СК",IF(H13&gt;=5,"Займ","")))</f>
        <v/>
      </c>
    </row>
    <row r="14">
      <c r="A14" s="6" t="inlineStr">
        <is>
          <t>2024-05-01</t>
        </is>
      </c>
      <c r="B14" s="7" t="n">
        <v>357665.7</v>
      </c>
      <c r="C14" s="7" t="n">
        <v>401188.386</v>
      </c>
      <c r="D14" s="8" t="n">
        <v>0.8915155884</v>
      </c>
      <c r="E14" s="9">
        <f>D14*100</f>
        <v/>
      </c>
      <c r="F14" s="9">
        <f>E14-E13</f>
        <v/>
      </c>
      <c r="G14" s="11">
        <f>(C14-C13)/C13*100</f>
        <v/>
      </c>
      <c r="H14" s="11">
        <f>(B14-B13)/B13*100</f>
        <v/>
      </c>
      <c r="I14" s="12" t="n">
        <v>1</v>
      </c>
      <c r="J14" s="9">
        <f>IF(I14=1,F14,"")</f>
        <v/>
      </c>
      <c r="K14" s="6">
        <f>IF(AND(G14&lt;=-3,H14&gt;=5),"оба",IF(G14&lt;=-3,"СК",IF(H14&gt;=5,"Займ","")))</f>
        <v/>
      </c>
    </row>
    <row r="15">
      <c r="A15" s="6" t="inlineStr">
        <is>
          <t>2024-06-01</t>
        </is>
      </c>
      <c r="B15" s="7" t="n">
        <v>360756.5</v>
      </c>
      <c r="C15" s="7" t="n">
        <v>403780.012</v>
      </c>
      <c r="D15" s="8" t="n">
        <v>0.8934481383</v>
      </c>
      <c r="E15" s="9">
        <f>D15*100</f>
        <v/>
      </c>
      <c r="F15" s="9">
        <f>E15-E14</f>
        <v/>
      </c>
      <c r="G15" s="11">
        <f>(C15-C14)/C14*100</f>
        <v/>
      </c>
      <c r="H15" s="11">
        <f>(B15-B14)/B14*100</f>
        <v/>
      </c>
      <c r="I15" s="12" t="n">
        <v>1</v>
      </c>
      <c r="J15" s="9">
        <f>IF(I15=1,F15,"")</f>
        <v/>
      </c>
      <c r="K15" s="6">
        <f>IF(AND(G15&lt;=-3,H15&gt;=5),"оба",IF(G15&lt;=-3,"СК",IF(H15&gt;=5,"Займ","")))</f>
        <v/>
      </c>
    </row>
    <row r="16">
      <c r="A16" s="6" t="inlineStr">
        <is>
          <t>2024-07-01</t>
        </is>
      </c>
      <c r="B16" s="7" t="n">
        <v>362413.9</v>
      </c>
      <c r="C16" s="7" t="n">
        <v>405247.486</v>
      </c>
      <c r="D16" s="8" t="n">
        <v>0.8943026484</v>
      </c>
      <c r="E16" s="9">
        <f>D16*100</f>
        <v/>
      </c>
      <c r="F16" s="9">
        <f>E16-E15</f>
        <v/>
      </c>
      <c r="G16" s="11">
        <f>(C16-C15)/C15*100</f>
        <v/>
      </c>
      <c r="H16" s="11">
        <f>(B16-B15)/B15*100</f>
        <v/>
      </c>
      <c r="I16" s="12" t="n">
        <v>1</v>
      </c>
      <c r="J16" s="9">
        <f>IF(I16=1,F16,"")</f>
        <v/>
      </c>
      <c r="K16" s="6">
        <f>IF(AND(G16&lt;=-3,H16&gt;=5),"оба",IF(G16&lt;=-3,"СК",IF(H16&gt;=5,"Займ","")))</f>
        <v/>
      </c>
    </row>
    <row r="17">
      <c r="A17" s="6" t="inlineStr">
        <is>
          <t>2024-08-01</t>
        </is>
      </c>
      <c r="B17" s="7" t="n">
        <v>358163.4</v>
      </c>
      <c r="C17" s="7" t="n">
        <v>417859.74</v>
      </c>
      <c r="D17" s="8" t="n">
        <v>0.857137852</v>
      </c>
      <c r="E17" s="9">
        <f>D17*100</f>
        <v/>
      </c>
      <c r="F17" s="9">
        <f>E17-E16</f>
        <v/>
      </c>
      <c r="G17" s="11">
        <f>(C17-C16)/C16*100</f>
        <v/>
      </c>
      <c r="H17" s="11">
        <f>(B17-B16)/B16*100</f>
        <v/>
      </c>
      <c r="I17" s="12" t="n">
        <v>1</v>
      </c>
      <c r="J17" s="9">
        <f>IF(I17=1,F17,"")</f>
        <v/>
      </c>
      <c r="K17" s="6">
        <f>IF(AND(G17&lt;=-3,H17&gt;=5),"оба",IF(G17&lt;=-3,"СК",IF(H17&gt;=5,"Займ","")))</f>
        <v/>
      </c>
    </row>
    <row r="18">
      <c r="A18" s="6" t="inlineStr">
        <is>
          <t>2024-09-01</t>
        </is>
      </c>
      <c r="B18" s="7" t="n">
        <v>379875.3</v>
      </c>
      <c r="C18" s="7" t="n">
        <v>421198.748</v>
      </c>
      <c r="D18" s="8" t="n">
        <v>0.9018908575</v>
      </c>
      <c r="E18" s="9">
        <f>D18*100</f>
        <v/>
      </c>
      <c r="F18" s="9">
        <f>E18-E17</f>
        <v/>
      </c>
      <c r="G18" s="11">
        <f>(C18-C17)/C17*100</f>
        <v/>
      </c>
      <c r="H18" s="11">
        <f>(B18-B17)/B17*100</f>
        <v/>
      </c>
      <c r="I18" s="12" t="n">
        <v>1</v>
      </c>
      <c r="J18" s="9">
        <f>IF(I18=1,F18,"")</f>
        <v/>
      </c>
      <c r="K18" s="6">
        <f>IF(AND(G18&lt;=-3,H18&gt;=5),"оба",IF(G18&lt;=-3,"СК",IF(H18&gt;=5,"Займ","")))</f>
        <v/>
      </c>
    </row>
    <row r="19">
      <c r="A19" s="6" t="inlineStr">
        <is>
          <t>2024-10-01</t>
        </is>
      </c>
      <c r="B19" s="7" t="n">
        <v>384443.9</v>
      </c>
      <c r="C19" s="7" t="n">
        <v>424610.677</v>
      </c>
      <c r="D19" s="8" t="n">
        <v>0.9054032808</v>
      </c>
      <c r="E19" s="9">
        <f>D19*100</f>
        <v/>
      </c>
      <c r="F19" s="9">
        <f>E19-E18</f>
        <v/>
      </c>
      <c r="G19" s="11">
        <f>(C19-C18)/C18*100</f>
        <v/>
      </c>
      <c r="H19" s="11">
        <f>(B19-B18)/B18*100</f>
        <v/>
      </c>
      <c r="I19" s="12" t="n">
        <v>1</v>
      </c>
      <c r="J19" s="9">
        <f>IF(I19=1,F19,"")</f>
        <v/>
      </c>
      <c r="K19" s="6">
        <f>IF(AND(G19&lt;=-3,H19&gt;=5),"оба",IF(G19&lt;=-3,"СК",IF(H19&gt;=5,"Займ","")))</f>
        <v/>
      </c>
    </row>
    <row r="20">
      <c r="A20" s="6" t="inlineStr">
        <is>
          <t>2024-11-01</t>
        </is>
      </c>
      <c r="B20" s="7" t="n">
        <v>376972.2</v>
      </c>
      <c r="C20" s="7" t="n">
        <v>439721.605</v>
      </c>
      <c r="D20" s="8" t="n">
        <v>0.8572974257</v>
      </c>
      <c r="E20" s="9">
        <f>D20*100</f>
        <v/>
      </c>
      <c r="F20" s="9">
        <f>E20-E19</f>
        <v/>
      </c>
      <c r="G20" s="11">
        <f>(C20-C19)/C19*100</f>
        <v/>
      </c>
      <c r="H20" s="11">
        <f>(B20-B19)/B19*100</f>
        <v/>
      </c>
      <c r="I20" s="12" t="n">
        <v>1</v>
      </c>
      <c r="J20" s="9">
        <f>IF(I20=1,F20,"")</f>
        <v/>
      </c>
      <c r="K20" s="6">
        <f>IF(AND(G20&lt;=-3,H20&gt;=5),"оба",IF(G20&lt;=-3,"СК",IF(H20&gt;=5,"Займ","")))</f>
        <v/>
      </c>
    </row>
    <row r="21">
      <c r="A21" s="6" t="inlineStr">
        <is>
          <t>2024-12-01</t>
        </is>
      </c>
      <c r="B21" s="7" t="n">
        <v>382966.5</v>
      </c>
      <c r="C21" s="7" t="n">
        <v>443905.946</v>
      </c>
      <c r="D21" s="8" t="n">
        <v>0.862719915</v>
      </c>
      <c r="E21" s="9">
        <f>D21*100</f>
        <v/>
      </c>
      <c r="F21" s="9">
        <f>E21-E20</f>
        <v/>
      </c>
      <c r="G21" s="11">
        <f>(C21-C20)/C20*100</f>
        <v/>
      </c>
      <c r="H21" s="11">
        <f>(B21-B20)/B20*100</f>
        <v/>
      </c>
      <c r="I21" s="12" t="n">
        <v>1</v>
      </c>
      <c r="J21" s="9">
        <f>IF(I21=1,F21,"")</f>
        <v/>
      </c>
      <c r="K21" s="6">
        <f>IF(AND(G21&lt;=-3,H21&gt;=5),"оба",IF(G21&lt;=-3,"СК",IF(H21&gt;=5,"Займ","")))</f>
        <v/>
      </c>
    </row>
    <row r="22">
      <c r="A22" s="6" t="inlineStr">
        <is>
          <t>2025-01-01</t>
        </is>
      </c>
      <c r="B22" s="7" t="n">
        <v>378199.4</v>
      </c>
      <c r="C22" s="7" t="n">
        <v>461235.157</v>
      </c>
      <c r="D22" s="8" t="n">
        <v>0.8199708853</v>
      </c>
      <c r="E22" s="9">
        <f>D22*100</f>
        <v/>
      </c>
      <c r="F22" s="9">
        <f>E22-E21</f>
        <v/>
      </c>
      <c r="G22" s="11">
        <f>(C22-C21)/C21*100</f>
        <v/>
      </c>
      <c r="H22" s="11">
        <f>(B22-B21)/B21*100</f>
        <v/>
      </c>
      <c r="I22" s="12" t="n">
        <v>1</v>
      </c>
      <c r="J22" s="9">
        <f>IF(I22=1,F22,"")</f>
        <v/>
      </c>
      <c r="K22" s="6">
        <f>IF(AND(G22&lt;=-3,H22&gt;=5),"оба",IF(G22&lt;=-3,"СК",IF(H22&gt;=5,"Займ","")))</f>
        <v/>
      </c>
    </row>
    <row r="23">
      <c r="A23" s="6" t="inlineStr">
        <is>
          <t>2025-02-01</t>
        </is>
      </c>
      <c r="B23" s="7" t="n">
        <v>370820.7</v>
      </c>
      <c r="C23" s="7" t="n">
        <v>462997.148</v>
      </c>
      <c r="D23" s="8" t="n">
        <v>0.8009135728</v>
      </c>
      <c r="E23" s="9">
        <f>D23*100</f>
        <v/>
      </c>
      <c r="F23" s="9">
        <f>E23-E22</f>
        <v/>
      </c>
      <c r="G23" s="11">
        <f>(C23-C22)/C22*100</f>
        <v/>
      </c>
      <c r="H23" s="11">
        <f>(B23-B22)/B22*100</f>
        <v/>
      </c>
      <c r="I23" s="12" t="n">
        <v>1</v>
      </c>
      <c r="J23" s="9">
        <f>IF(I23=1,F23,"")</f>
        <v/>
      </c>
      <c r="K23" s="6">
        <f>IF(AND(G23&lt;=-3,H23&gt;=5),"оба",IF(G23&lt;=-3,"СК",IF(H23&gt;=5,"Займ","")))</f>
        <v/>
      </c>
    </row>
    <row r="24">
      <c r="A24" s="6" t="inlineStr">
        <is>
          <t>2025-03-01</t>
        </is>
      </c>
      <c r="B24" s="7" t="n">
        <v>367097.44</v>
      </c>
      <c r="C24" s="7" t="n">
        <v>467025.778</v>
      </c>
      <c r="D24" s="8" t="n">
        <v>0.7860325003</v>
      </c>
      <c r="E24" s="9">
        <f>D24*100</f>
        <v/>
      </c>
      <c r="F24" s="9">
        <f>E24-E23</f>
        <v/>
      </c>
      <c r="G24" s="11">
        <f>(C24-C23)/C23*100</f>
        <v/>
      </c>
      <c r="H24" s="11">
        <f>(B24-B23)/B23*100</f>
        <v/>
      </c>
      <c r="I24" s="12" t="n">
        <v>1</v>
      </c>
      <c r="J24" s="9">
        <f>IF(I24=1,F24,"")</f>
        <v/>
      </c>
      <c r="K24" s="6">
        <f>IF(AND(G24&lt;=-3,H24&gt;=5),"оба",IF(G24&lt;=-3,"СК",IF(H24&gt;=5,"Займ","")))</f>
        <v/>
      </c>
    </row>
    <row r="25">
      <c r="A25" s="6" t="inlineStr">
        <is>
          <t>2025-04-01</t>
        </is>
      </c>
      <c r="B25" s="7" t="n">
        <v>395318.8</v>
      </c>
      <c r="C25" s="7" t="n">
        <v>452053.517</v>
      </c>
      <c r="D25" s="8" t="n">
        <v>0.8744955744</v>
      </c>
      <c r="E25" s="9">
        <f>D25*100</f>
        <v/>
      </c>
      <c r="F25" s="9">
        <f>E25-E24</f>
        <v/>
      </c>
      <c r="G25" s="11">
        <f>(C25-C24)/C24*100</f>
        <v/>
      </c>
      <c r="H25" s="11">
        <f>(B25-B24)/B24*100</f>
        <v/>
      </c>
      <c r="I25" s="12" t="n">
        <v>1</v>
      </c>
      <c r="J25" s="9">
        <f>IF(I25=1,F25,"")</f>
        <v/>
      </c>
      <c r="K25" s="6">
        <f>IF(AND(G25&lt;=-3,H25&gt;=5),"оба",IF(G25&lt;=-3,"СК",IF(H25&gt;=5,"Займ","")))</f>
        <v/>
      </c>
    </row>
    <row r="26">
      <c r="A26" s="6" t="inlineStr">
        <is>
          <t>2025-05-01</t>
        </is>
      </c>
      <c r="B26" s="7" t="n">
        <v>413164.5</v>
      </c>
      <c r="C26" s="7" t="n">
        <v>456721.225</v>
      </c>
      <c r="D26" s="8" t="n">
        <v>0.9046317039</v>
      </c>
      <c r="E26" s="9">
        <f>D26*100</f>
        <v/>
      </c>
      <c r="F26" s="9">
        <f>E26-E25</f>
        <v/>
      </c>
      <c r="G26" s="11">
        <f>(C26-C25)/C25*100</f>
        <v/>
      </c>
      <c r="H26" s="11">
        <f>(B26-B25)/B25*100</f>
        <v/>
      </c>
      <c r="I26" s="12" t="n">
        <v>1</v>
      </c>
      <c r="J26" s="9">
        <f>IF(I26=1,F26,"")</f>
        <v/>
      </c>
      <c r="K26" s="6">
        <f>IF(AND(G26&lt;=-3,H26&gt;=5),"оба",IF(G26&lt;=-3,"СК",IF(H26&gt;=5,"Займ","")))</f>
        <v/>
      </c>
    </row>
    <row r="27">
      <c r="A27" s="6" t="inlineStr">
        <is>
          <t>2025-06-01</t>
        </is>
      </c>
      <c r="B27" s="7" t="n">
        <v>409495.1</v>
      </c>
      <c r="C27" s="7" t="n">
        <v>461556.705</v>
      </c>
      <c r="D27" s="8" t="n">
        <v>0.8872043144</v>
      </c>
      <c r="E27" s="9">
        <f>D27*100</f>
        <v/>
      </c>
      <c r="F27" s="9">
        <f>E27-E26</f>
        <v/>
      </c>
      <c r="G27" s="11">
        <f>(C27-C26)/C26*100</f>
        <v/>
      </c>
      <c r="H27" s="11">
        <f>(B27-B26)/B26*100</f>
        <v/>
      </c>
      <c r="I27" s="12" t="n">
        <v>1</v>
      </c>
      <c r="J27" s="9">
        <f>IF(I27=1,F27,"")</f>
        <v/>
      </c>
      <c r="K27" s="6">
        <f>IF(AND(G27&lt;=-3,H27&gt;=5),"оба",IF(G27&lt;=-3,"СК",IF(H27&gt;=5,"Займ","")))</f>
        <v/>
      </c>
    </row>
    <row r="28">
      <c r="A28" s="6" t="inlineStr">
        <is>
          <t>2025-07-01</t>
        </is>
      </c>
      <c r="B28" s="7" t="n">
        <v>421189.4</v>
      </c>
      <c r="C28" s="7" t="n">
        <v>466904.637</v>
      </c>
      <c r="D28" s="8" t="n">
        <v>0.9020887064000001</v>
      </c>
      <c r="E28" s="9">
        <f>D28*100</f>
        <v/>
      </c>
      <c r="F28" s="9">
        <f>E28-E27</f>
        <v/>
      </c>
      <c r="G28" s="11">
        <f>(C28-C27)/C27*100</f>
        <v/>
      </c>
      <c r="H28" s="11">
        <f>(B28-B27)/B27*100</f>
        <v/>
      </c>
      <c r="I28" s="12" t="n">
        <v>1</v>
      </c>
      <c r="J28" s="9">
        <f>IF(I28=1,F28,"")</f>
        <v/>
      </c>
      <c r="K28" s="6">
        <f>IF(AND(G28&lt;=-3,H28&gt;=5),"оба",IF(G28&lt;=-3,"СК",IF(H28&gt;=5,"Займ","")))</f>
        <v/>
      </c>
    </row>
    <row r="29">
      <c r="A29" s="6" t="inlineStr">
        <is>
          <t>2025-08-01</t>
        </is>
      </c>
      <c r="B29" s="7" t="n">
        <v>421697.9</v>
      </c>
      <c r="C29" s="7" t="n">
        <v>460260.73</v>
      </c>
      <c r="D29" s="8" t="n">
        <v>0.9162152504</v>
      </c>
      <c r="E29" s="9">
        <f>D29*100</f>
        <v/>
      </c>
      <c r="F29" s="9">
        <f>E29-E28</f>
        <v/>
      </c>
      <c r="G29" s="11">
        <f>(C29-C28)/C28*100</f>
        <v/>
      </c>
      <c r="H29" s="11">
        <f>(B29-B28)/B28*100</f>
        <v/>
      </c>
      <c r="I29" s="12" t="n">
        <v>1</v>
      </c>
      <c r="J29" s="9">
        <f>IF(I29=1,F29,"")</f>
        <v/>
      </c>
      <c r="K29" s="6">
        <f>IF(AND(G29&lt;=-3,H29&gt;=5),"оба",IF(G29&lt;=-3,"СК",IF(H29&gt;=5,"Займ","")))</f>
        <v/>
      </c>
    </row>
    <row r="30">
      <c r="A30" s="6" t="inlineStr">
        <is>
          <t>2025-09-01</t>
        </is>
      </c>
      <c r="B30" s="7" t="n">
        <v>420361.1</v>
      </c>
      <c r="C30" s="7" t="n">
        <v>466364.472</v>
      </c>
      <c r="D30" s="8" t="n">
        <v>0.9013574688</v>
      </c>
      <c r="E30" s="9">
        <f>D30*100</f>
        <v/>
      </c>
      <c r="F30" s="9">
        <f>E30-E29</f>
        <v/>
      </c>
      <c r="G30" s="11">
        <f>(C30-C29)/C29*100</f>
        <v/>
      </c>
      <c r="H30" s="11">
        <f>(B30-B29)/B29*100</f>
        <v/>
      </c>
      <c r="I30" s="12" t="n">
        <v>1</v>
      </c>
      <c r="J30" s="9">
        <f>IF(I30=1,F30,"")</f>
        <v/>
      </c>
      <c r="K30" s="6">
        <f>IF(AND(G30&lt;=-3,H30&gt;=5),"оба",IF(G30&lt;=-3,"СК",IF(H30&gt;=5,"Займ","")))</f>
        <v/>
      </c>
    </row>
    <row r="31">
      <c r="A31" s="6" t="inlineStr">
        <is>
          <t>2025-10-01</t>
        </is>
      </c>
      <c r="B31" s="7" t="n">
        <v>421816</v>
      </c>
      <c r="C31" s="7" t="n">
        <v>469835.804</v>
      </c>
      <c r="D31" s="8" t="n">
        <v>0.8977944984</v>
      </c>
      <c r="E31" s="9">
        <f>D31*100</f>
        <v/>
      </c>
      <c r="F31" s="9">
        <f>E31-E30</f>
        <v/>
      </c>
      <c r="G31" s="11">
        <f>(C31-C30)/C30*100</f>
        <v/>
      </c>
      <c r="H31" s="11">
        <f>(B31-B30)/B30*100</f>
        <v/>
      </c>
      <c r="I31" s="12" t="n">
        <v>1</v>
      </c>
      <c r="J31" s="9">
        <f>IF(I31=1,F31,"")</f>
        <v/>
      </c>
      <c r="K31" s="6">
        <f>IF(AND(G31&lt;=-3,H31&gt;=5),"оба",IF(G31&lt;=-3,"СК",IF(H31&gt;=5,"Займ","")))</f>
        <v/>
      </c>
    </row>
    <row r="32">
      <c r="A32" s="6" t="inlineStr">
        <is>
          <t>2025-11-01</t>
        </is>
      </c>
      <c r="B32" s="7" t="n">
        <v>403001.7</v>
      </c>
      <c r="C32" s="7" t="n">
        <v>467852.15</v>
      </c>
      <c r="D32" s="8" t="n">
        <v>0.8613868719</v>
      </c>
      <c r="E32" s="9">
        <f>D32*100</f>
        <v/>
      </c>
      <c r="F32" s="9">
        <f>E32-E31</f>
        <v/>
      </c>
      <c r="G32" s="11">
        <f>(C32-C31)/C31*100</f>
        <v/>
      </c>
      <c r="H32" s="11">
        <f>(B32-B31)/B31*100</f>
        <v/>
      </c>
      <c r="I32" s="12" t="n">
        <v>1</v>
      </c>
      <c r="J32" s="9">
        <f>IF(I32=1,F32,"")</f>
        <v/>
      </c>
      <c r="K32" s="6">
        <f>IF(AND(G32&lt;=-3,H32&gt;=5),"оба",IF(G32&lt;=-3,"СК",IF(H32&gt;=5,"Займ","")))</f>
        <v/>
      </c>
    </row>
    <row r="33">
      <c r="A33" s="6" t="inlineStr">
        <is>
          <t>2025-12-01</t>
        </is>
      </c>
      <c r="B33" s="7" t="n">
        <v>411642.9</v>
      </c>
      <c r="C33" s="7" t="n">
        <v>477796.375</v>
      </c>
      <c r="D33" s="8" t="n">
        <v>0.8615446277</v>
      </c>
      <c r="E33" s="9">
        <f>D33*100</f>
        <v/>
      </c>
      <c r="F33" s="9">
        <f>E33-E32</f>
        <v/>
      </c>
      <c r="G33" s="11">
        <f>(C33-C32)/C32*100</f>
        <v/>
      </c>
      <c r="H33" s="11">
        <f>(B33-B32)/B32*100</f>
        <v/>
      </c>
      <c r="I33" s="12" t="n">
        <v>1</v>
      </c>
      <c r="J33" s="9">
        <f>IF(I33=1,F33,"")</f>
        <v/>
      </c>
      <c r="K33" s="6">
        <f>IF(AND(G33&lt;=-3,H33&gt;=5),"оба",IF(G33&lt;=-3,"СК",IF(H33&gt;=5,"Займ","")))</f>
        <v/>
      </c>
    </row>
    <row r="34">
      <c r="A34" s="6" t="inlineStr">
        <is>
          <t>2026-01-01</t>
        </is>
      </c>
      <c r="B34" s="7" t="n">
        <v>421717.7</v>
      </c>
      <c r="C34" s="7" t="n">
        <v>439961.267</v>
      </c>
      <c r="D34" s="8" t="n">
        <v>0.9585336974999999</v>
      </c>
      <c r="E34" s="9">
        <f>D34*100</f>
        <v/>
      </c>
      <c r="F34" s="9">
        <f>E34-E33</f>
        <v/>
      </c>
      <c r="G34" s="11">
        <f>(C34-C33)/C33*100</f>
        <v/>
      </c>
      <c r="H34" s="11">
        <f>(B34-B33)/B33*100</f>
        <v/>
      </c>
      <c r="I34" s="12" t="n">
        <v>1</v>
      </c>
      <c r="J34" s="9">
        <f>IF(I34=1,F34,"")</f>
        <v/>
      </c>
      <c r="K34" s="6">
        <f>IF(AND(G34&lt;=-3,H34&gt;=5),"оба",IF(G34&lt;=-3,"СК",IF(H34&gt;=5,"Займ","")))</f>
        <v/>
      </c>
    </row>
    <row r="35">
      <c r="A35" s="6" t="inlineStr">
        <is>
          <t>2026-02-01</t>
        </is>
      </c>
      <c r="B35" s="7" t="n">
        <v>393670.5</v>
      </c>
      <c r="C35" s="7" t="n">
        <v>440063.853</v>
      </c>
      <c r="D35" s="8" t="n">
        <v>0.8945758606000001</v>
      </c>
      <c r="E35" s="9">
        <f>D35*100</f>
        <v/>
      </c>
      <c r="F35" s="9">
        <f>E35-E34</f>
        <v/>
      </c>
      <c r="G35" s="11">
        <f>(C35-C34)/C34*100</f>
        <v/>
      </c>
      <c r="H35" s="11">
        <f>(B35-B34)/B34*100</f>
        <v/>
      </c>
      <c r="I35" s="12" t="n">
        <v>1</v>
      </c>
      <c r="J35" s="9">
        <f>IF(I35=1,F35,"")</f>
        <v/>
      </c>
      <c r="K35" s="6">
        <f>IF(AND(G35&lt;=-3,H35&gt;=5),"оба",IF(G35&lt;=-3,"СК",IF(H35&gt;=5,"Займ","")))</f>
        <v/>
      </c>
    </row>
    <row r="36">
      <c r="A36" s="6" t="inlineStr">
        <is>
          <t>2026-03-01</t>
        </is>
      </c>
      <c r="B36" s="7" t="n">
        <v>395281.7</v>
      </c>
      <c r="C36" s="7" t="n">
        <v>449623.796</v>
      </c>
      <c r="D36" s="8" t="n">
        <v>0.8791387456</v>
      </c>
      <c r="E36" s="9">
        <f>D36*100</f>
        <v/>
      </c>
      <c r="F36" s="9">
        <f>E36-E35</f>
        <v/>
      </c>
      <c r="G36" s="11">
        <f>(C36-C35)/C35*100</f>
        <v/>
      </c>
      <c r="H36" s="11">
        <f>(B36-B35)/B35*100</f>
        <v/>
      </c>
      <c r="I36" s="12" t="n">
        <v>1</v>
      </c>
      <c r="J36" s="9">
        <f>IF(I36=1,F36,"")</f>
        <v/>
      </c>
      <c r="K36" s="6">
        <f>IF(AND(G36&lt;=-3,H36&gt;=5),"оба",IF(G36&lt;=-3,"СК",IF(H36&gt;=5,"Займ","")))</f>
        <v/>
      </c>
    </row>
    <row r="37">
      <c r="A37" s="6" t="inlineStr">
        <is>
          <t>2026-04-01</t>
        </is>
      </c>
      <c r="B37" s="7" t="n">
        <v>416607.1</v>
      </c>
      <c r="C37" s="7" t="n">
        <v>446679.827</v>
      </c>
      <c r="D37" s="8" t="n">
        <v>0.9326749828999999</v>
      </c>
      <c r="E37" s="9">
        <f>D37*100</f>
        <v/>
      </c>
      <c r="F37" s="9">
        <f>E37-E36</f>
        <v/>
      </c>
      <c r="G37" s="11">
        <f>(C37-C36)/C36*100</f>
        <v/>
      </c>
      <c r="H37" s="11">
        <f>(B37-B36)/B36*100</f>
        <v/>
      </c>
      <c r="I37" s="12" t="n">
        <v>1</v>
      </c>
      <c r="J37" s="9">
        <f>IF(I37=1,F37,"")</f>
        <v/>
      </c>
      <c r="K37" s="6">
        <f>IF(AND(G37&lt;=-3,H37&gt;=5),"оба",IF(G37&lt;=-3,"СК",IF(H37&gt;=5,"Займ","")))</f>
        <v/>
      </c>
    </row>
    <row r="38">
      <c r="A38" s="6" t="inlineStr">
        <is>
          <t>2026-05-01</t>
        </is>
      </c>
      <c r="B38" s="7" t="n">
        <v>439754.5</v>
      </c>
      <c r="C38" s="7" t="n">
        <v>446857.154</v>
      </c>
      <c r="D38" s="8" t="n">
        <v>0.9841053143</v>
      </c>
      <c r="E38" s="9">
        <f>D38*100</f>
        <v/>
      </c>
      <c r="F38" s="9">
        <f>E38-E37</f>
        <v/>
      </c>
      <c r="G38" s="11">
        <f>(C38-C37)/C37*100</f>
        <v/>
      </c>
      <c r="H38" s="11">
        <f>(B38-B37)/B37*100</f>
        <v/>
      </c>
      <c r="I38" s="12" t="n">
        <v>1</v>
      </c>
      <c r="J38" s="9">
        <f>IF(I38=1,F38,"")</f>
        <v/>
      </c>
      <c r="K38" s="6">
        <f>IF(AND(G38&lt;=-3,H38&gt;=5),"оба",IF(G38&lt;=-3,"СК",IF(H38&gt;=5,"Займ","")))</f>
        <v/>
      </c>
    </row>
    <row r="39">
      <c r="A39" s="6" t="inlineStr">
        <is>
          <t>2026-06-01</t>
        </is>
      </c>
      <c r="B39" s="7" t="n">
        <v>444048.8</v>
      </c>
      <c r="C39" s="7" t="n">
        <v>440316.783</v>
      </c>
      <c r="D39" s="8" t="n">
        <v>1.008475755</v>
      </c>
      <c r="E39" s="9">
        <f>D39*100</f>
        <v/>
      </c>
      <c r="F39" s="9">
        <f>E39-E38</f>
        <v/>
      </c>
      <c r="G39" s="11">
        <f>(C39-C38)/C38*100</f>
        <v/>
      </c>
      <c r="H39" s="11">
        <f>(B39-B38)/B38*100</f>
        <v/>
      </c>
      <c r="I39" s="12" t="n">
        <v>1</v>
      </c>
      <c r="J39" s="9">
        <f>IF(I39=1,F39,"")</f>
        <v/>
      </c>
      <c r="K39" s="6">
        <f>IF(AND(G39&lt;=-3,H39&gt;=5),"оба",IF(G39&lt;=-3,"СК",IF(H39&gt;=5,"Займ","")))</f>
        <v/>
      </c>
    </row>
    <row r="40">
      <c r="A40" s="6" t="inlineStr">
        <is>
          <t>2026-07-01</t>
        </is>
      </c>
      <c r="B40" s="7" t="n">
        <v>448999.7</v>
      </c>
      <c r="C40" s="7" t="n">
        <v>442346.331</v>
      </c>
      <c r="D40" s="8" t="n">
        <v>1.015041086</v>
      </c>
      <c r="E40" s="9">
        <f>D40*100</f>
        <v/>
      </c>
      <c r="F40" s="9">
        <f>E40-E39</f>
        <v/>
      </c>
      <c r="G40" s="11">
        <f>(C40-C39)/C39*100</f>
        <v/>
      </c>
      <c r="H40" s="11">
        <f>(B40-B39)/B39*100</f>
        <v/>
      </c>
      <c r="I40" s="12" t="n">
        <v>1</v>
      </c>
      <c r="J40" s="9">
        <f>IF(I40=1,F40,"")</f>
        <v/>
      </c>
      <c r="K40" s="6">
        <f>IF(AND(G40&lt;=-3,H40&gt;=5),"оба",IF(G40&lt;=-3,"СК",IF(H40&gt;=5,"Займ","")))</f>
        <v/>
      </c>
    </row>
    <row r="42" ht="58" customHeight="1">
      <c r="A42" s="2" t="inlineStr">
        <is>
          <t>Колонка I — база метода B. Ноль стоит у двух приростов, примыкающих к максимуму ряда (2024-01-01): вход в выброс и выход из него. Это определение восстановлено обратным счётом от опубликованных 113,17 и в тексте методов не приведено — см. DISCLOSURE.md, Р-Д1. Колонка J гасит эти два значения, поэтому STDEVP по ней считает σ метода B, а STDEV по F — σ методов D и H.</t>
        </is>
      </c>
    </row>
  </sheetData>
  <mergeCells count="2">
    <mergeCell ref="A2:K2"/>
    <mergeCell ref="A42:K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62" customWidth="1" min="4" max="4"/>
  </cols>
  <sheetData>
    <row r="1">
      <c r="A1" s="1" t="inlineStr">
        <is>
          <t>Параметры расчёта</t>
        </is>
      </c>
    </row>
    <row r="2">
      <c r="A2" s="14" t="inlineStr">
        <is>
          <t>Всё, что не выводится из ряда. Меняется здесь — пересчитывается везде.</t>
        </is>
      </c>
    </row>
    <row r="4">
      <c r="A4" s="15" t="inlineStr">
        <is>
          <t>Параметр</t>
        </is>
      </c>
      <c r="B4" s="15" t="inlineStr">
        <is>
          <t>Обозначение</t>
        </is>
      </c>
      <c r="C4" s="15" t="inlineStr">
        <is>
          <t>Значение</t>
        </is>
      </c>
      <c r="D4" s="15" t="inlineStr">
        <is>
          <t>Откуда</t>
        </is>
      </c>
    </row>
    <row r="5" ht="30" customHeight="1">
      <c r="A5" s="4" t="inlineStr">
        <is>
          <t>Квантиль нормального для 0,90</t>
        </is>
      </c>
      <c r="B5" s="6" t="inlineStr">
        <is>
          <t>z(0,90)</t>
        </is>
      </c>
      <c r="C5" s="16" t="n">
        <v>1.2815515655446</v>
      </c>
      <c r="D5" s="17" t="inlineStr">
        <is>
          <t>Стандартное нормальное распределение. Проверка в самом Excel: =NORMSINV(0,9) даёт то же число</t>
        </is>
      </c>
    </row>
    <row r="6" ht="30" customHeight="1">
      <c r="A6" s="4" t="inlineStr">
        <is>
          <t>Отношение баз капитала</t>
        </is>
      </c>
      <c r="B6" s="6" t="inlineStr">
        <is>
          <t>k (Г26)</t>
        </is>
      </c>
      <c r="C6" s="18" t="n">
        <v>0.87453</v>
      </c>
      <c r="D6" s="17" t="inlineStr">
        <is>
          <t>E_балансовый / E_регуляторный на 01.01.2026. Находка Г26: с 01.01.2026 знаменатель метрики сменил базу, уровень при этом не пересматривался</t>
        </is>
      </c>
    </row>
    <row r="7" ht="30" customHeight="1">
      <c r="A7" s="4" t="inlineStr">
        <is>
          <t>Уровень в регуляторной базе</t>
        </is>
      </c>
      <c r="B7" s="6" t="inlineStr">
        <is>
          <t>L_рег</t>
        </is>
      </c>
      <c r="C7" s="19" t="n">
        <v>95</v>
      </c>
      <c r="D7" s="17" t="inlineStr">
        <is>
          <t>Действующий уровень риск-аппетита по топ-20. Приложение № 3 к Политике (VND-02). История уровня: 250 % → 95 %, см. data/top20_limit_history.csv</t>
        </is>
      </c>
    </row>
    <row r="8" ht="30" customHeight="1">
      <c r="A8" s="4" t="inlineStr">
        <is>
          <t>Длина цикла реагирования, мес.</t>
        </is>
      </c>
      <c r="B8" s="6" t="inlineStr">
        <is>
          <t>T</t>
        </is>
      </c>
      <c r="C8" s="20" t="n">
        <v>3</v>
      </c>
      <c r="D8" s="17" t="inlineStr">
        <is>
          <t>ДОПУЩЕНИЕ, не измеренная величина. Пока длина цикла не закреплена в регламенте, метод H держится на ней со слов — DISCLOSURE § 6</t>
        </is>
      </c>
    </row>
    <row r="9" ht="30" customHeight="1">
      <c r="A9" s="4" t="inlineStr">
        <is>
          <t>Порог триггера по капиталу, %</t>
        </is>
      </c>
      <c r="B9" s="6" t="inlineStr">
        <is>
          <t>порог ΔСК</t>
        </is>
      </c>
      <c r="C9" s="21" t="n">
        <v>-3</v>
      </c>
      <c r="D9" s="17" t="inlineStr">
        <is>
          <t>Месячное падение СК, при котором наблюдение ускоряется независимо от зоны</t>
        </is>
      </c>
    </row>
    <row r="10" ht="30" customHeight="1">
      <c r="A10" s="4" t="inlineStr">
        <is>
          <t>Порог триггера по портфелю, %</t>
        </is>
      </c>
      <c r="B10" s="6" t="inlineStr">
        <is>
          <t>порог ΔЗайм</t>
        </is>
      </c>
      <c r="C10" s="21" t="n">
        <v>5</v>
      </c>
      <c r="D10" s="17" t="inlineStr">
        <is>
          <t>Месячный рост задолженности топ-20, при котором наблюдение ускоряется</t>
        </is>
      </c>
    </row>
    <row r="12" ht="58" customHeight="1">
      <c r="A12" s="2" t="inlineStr">
        <is>
          <t>T = 3 — единственный параметр здесь, у которого нет внешнего источника. Если на комитете спросят «почему три месяца», честный ответ: длина цикла решения не измерена, и это записано как незакрытый пункт. Поставьте другое число в C8 — вся книга пересчитается, и станет видно, что уровень от этого меняется на 1,4–1,5 пп за каждый месяц цикла.</t>
        </is>
      </c>
    </row>
  </sheetData>
  <mergeCells count="1">
    <mergeCell ref="A12:D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46" customWidth="1" min="2" max="2"/>
    <col width="40" customWidth="1" min="3" max="3"/>
    <col width="13" customWidth="1" min="4" max="4"/>
    <col width="13" customWidth="1" min="5" max="5"/>
    <col width="12" customWidth="1" min="6" max="6"/>
    <col width="10" customWidth="1" min="7" max="7"/>
    <col width="22" customWidth="1" min="8" max="8"/>
  </cols>
  <sheetData>
    <row r="1">
      <c r="A1" s="1" t="inlineStr">
        <is>
          <t>Расчётный лист: формула, вход, результат</t>
        </is>
      </c>
    </row>
    <row r="2" ht="30" customHeight="1">
      <c r="A2" s="2" t="inlineStr">
        <is>
          <t>Колонка D считается формулой из листов «Ряд» и «Параметры». Колонка E — то, что напечатано в DECOMPOSITION § 11.10 и DISCLOSURE § 2. Колонка G должна быть «да» во всех строках: иначе опубликованное число разошлось с расчётом.</t>
        </is>
      </c>
    </row>
    <row r="4" ht="30" customHeight="1">
      <c r="A4" s="5" t="inlineStr">
        <is>
          <t>Показатель</t>
        </is>
      </c>
      <c r="B4" s="5" t="inlineStr">
        <is>
          <t>Формула словами</t>
        </is>
      </c>
      <c r="C4" s="5" t="inlineStr">
        <is>
          <t>Формула в этой книге</t>
        </is>
      </c>
      <c r="D4" s="5" t="inlineStr">
        <is>
          <t>Значение</t>
        </is>
      </c>
      <c r="E4" s="5" t="inlineStr">
        <is>
          <t>Опубликовано</t>
        </is>
      </c>
      <c r="F4" s="5" t="inlineStr">
        <is>
          <t>Расхождение</t>
        </is>
      </c>
      <c r="G4" s="5" t="inlineStr">
        <is>
          <t>Сходится</t>
        </is>
      </c>
      <c r="H4" s="5" t="inlineStr">
        <is>
          <t>Где напечатано</t>
        </is>
      </c>
    </row>
    <row r="5">
      <c r="A5" s="22" t="inlineStr">
        <is>
          <t>1. База: что даёт сам ряд</t>
        </is>
      </c>
      <c r="B5" s="23" t="n"/>
      <c r="C5" s="23" t="n"/>
      <c r="D5" s="23" t="n"/>
      <c r="E5" s="23" t="n"/>
      <c r="F5" s="23" t="n"/>
      <c r="G5" s="23" t="n"/>
      <c r="H5" s="23" t="n"/>
    </row>
    <row r="6" ht="30" customHeight="1">
      <c r="A6" s="4" t="inlineStr">
        <is>
          <t>σ_Δ — с.к.о. месячных приростов</t>
        </is>
      </c>
      <c r="B6" s="4" t="inlineStr">
        <is>
          <t>выборочное с.к.о. (n−1) по всем 35 приростам</t>
        </is>
      </c>
      <c r="C6" s="24" t="inlineStr">
        <is>
          <t>STDEV(d)</t>
        </is>
      </c>
      <c r="D6" s="25">
        <f>STDEV(d)</f>
        <v/>
      </c>
      <c r="E6" s="9" t="n">
        <v>4.0667</v>
      </c>
      <c r="F6" s="26">
        <f>D6-E6</f>
        <v/>
      </c>
      <c r="G6" s="27">
        <f>IF(ABS(F6)&lt;=0.00005,"да","НЕТ")</f>
        <v/>
      </c>
      <c r="H6" s="17" t="inlineStr">
        <is>
          <t>DISCLOSURE § 2.1</t>
        </is>
      </c>
    </row>
    <row r="7" ht="30" customHeight="1">
      <c r="A7" s="4" t="inlineStr">
        <is>
          <t>σ метода B</t>
        </is>
      </c>
      <c r="B7" s="4" t="inlineStr">
        <is>
          <t>популяционное с.к.о. приростов без двух, примыкающих к выбросу 01.2024</t>
        </is>
      </c>
      <c r="C7" s="24" t="inlineStr">
        <is>
          <t>STDEVP(dB)</t>
        </is>
      </c>
      <c r="D7" s="25">
        <f>STDEVP(dB)</f>
        <v/>
      </c>
      <c r="E7" s="9" t="n">
        <v>3.6326</v>
      </c>
      <c r="F7" s="26">
        <f>D7-E7</f>
        <v/>
      </c>
      <c r="G7" s="27">
        <f>IF(ABS(F7)&lt;=0.00005,"да","НЕТ")</f>
        <v/>
      </c>
      <c r="H7" s="17" t="inlineStr">
        <is>
          <t>DISCLOSURE Р-Д1</t>
        </is>
      </c>
    </row>
    <row r="8" ht="30" customHeight="1">
      <c r="A8" s="4" t="inlineStr">
        <is>
          <t>σ уровней (метод М1)</t>
        </is>
      </c>
      <c r="B8" s="4" t="inlineStr">
        <is>
          <t>выборочное с.к.о. самих значений ряда, не приростов</t>
        </is>
      </c>
      <c r="C8" s="24" t="inlineStr">
        <is>
          <t>STDEV(v)</t>
        </is>
      </c>
      <c r="D8" s="25">
        <f>STDEV(v)</f>
        <v/>
      </c>
      <c r="E8" s="9" t="n">
        <v>6.2201</v>
      </c>
      <c r="F8" s="26">
        <f>D8-E8</f>
        <v/>
      </c>
      <c r="G8" s="27">
        <f>IF(ABS(F8)&lt;=0.00005,"да","НЕТ")</f>
        <v/>
      </c>
      <c r="H8" s="17" t="inlineStr">
        <is>
          <t>DISCLOSURE Р-Д1</t>
        </is>
      </c>
    </row>
    <row r="9" ht="30" customHeight="1">
      <c r="A9" s="4" t="inlineStr">
        <is>
          <t>Текущая точка, 01.07.2026</t>
        </is>
      </c>
      <c r="B9" s="4" t="inlineStr">
        <is>
          <t>последнее значение ряда</t>
        </is>
      </c>
      <c r="C9" s="24" t="inlineStr">
        <is>
          <t>'Ряд'!E40</t>
        </is>
      </c>
      <c r="D9" s="25">
        <f>'Ряд'!E40</f>
        <v/>
      </c>
      <c r="E9" s="9" t="n">
        <v>101.5041</v>
      </c>
      <c r="F9" s="26">
        <f>D9-E9</f>
        <v/>
      </c>
      <c r="G9" s="27">
        <f>IF(ABS(F9)&lt;=0.00005,"да","НЕТ")</f>
        <v/>
      </c>
      <c r="H9" s="17" t="inlineStr">
        <is>
          <t>DISCLOSURE § 2.1</t>
        </is>
      </c>
    </row>
    <row r="10" ht="30" customHeight="1">
      <c r="A10" s="4" t="inlineStr">
        <is>
          <t>Максимум ряда, 01.2024</t>
        </is>
      </c>
      <c r="B10" s="4" t="inlineStr">
        <is>
          <t>наибольшее значение ряда</t>
        </is>
      </c>
      <c r="C10" s="24" t="inlineStr">
        <is>
          <t>MAX(v)</t>
        </is>
      </c>
      <c r="D10" s="25">
        <f>MAX(v)</f>
        <v/>
      </c>
      <c r="E10" s="9" t="n">
        <v>105.9003</v>
      </c>
      <c r="F10" s="26">
        <f>D10-E10</f>
        <v/>
      </c>
      <c r="G10" s="27">
        <f>IF(ABS(F10)&lt;=0.00005,"да","НЕТ")</f>
        <v/>
      </c>
      <c r="H10" s="17" t="inlineStr">
        <is>
          <t>DISCLOSURE § 2.1</t>
        </is>
      </c>
    </row>
    <row r="11" ht="30" customHeight="1">
      <c r="A11" s="4" t="inlineStr">
        <is>
          <t>Число точек</t>
        </is>
      </c>
      <c r="B11" s="4" t="inlineStr">
        <is>
          <t>сколько наблюдений в ряде</t>
        </is>
      </c>
      <c r="C11" s="24" t="inlineStr">
        <is>
          <t>COUNT(v)</t>
        </is>
      </c>
      <c r="D11" s="20">
        <f>COUNT(v)</f>
        <v/>
      </c>
      <c r="E11" s="12" t="n">
        <v>36</v>
      </c>
      <c r="F11" s="26">
        <f>D11-E11</f>
        <v/>
      </c>
      <c r="G11" s="27">
        <f>IF(ABS(F11)&lt;=0.5,"да","НЕТ")</f>
        <v/>
      </c>
      <c r="H11" s="17" t="inlineStr">
        <is>
          <t>DISCLOSURE § 1</t>
        </is>
      </c>
    </row>
    <row r="12">
      <c r="A12" s="22" t="inlineStr">
        <is>
          <t>2. Уровень</t>
        </is>
      </c>
      <c r="B12" s="23" t="n"/>
      <c r="C12" s="23" t="n"/>
      <c r="D12" s="23" t="n"/>
      <c r="E12" s="23" t="n"/>
      <c r="F12" s="23" t="n"/>
      <c r="G12" s="23" t="n"/>
      <c r="H12" s="23" t="n"/>
    </row>
    <row r="13" ht="30" customHeight="1">
      <c r="A13" s="4" t="inlineStr">
        <is>
          <t>L — уровень в балансовой базе</t>
        </is>
      </c>
      <c r="B13" s="4" t="inlineStr">
        <is>
          <t>действующий уровень 95 %, пересчитанный под балансовый капитал: L_рег / k</t>
        </is>
      </c>
      <c r="C13" s="24" t="inlineStr">
        <is>
          <t>L_reg/k_G26</t>
        </is>
      </c>
      <c r="D13" s="25">
        <f>L_reg/k_G26</f>
        <v/>
      </c>
      <c r="E13" s="9" t="n">
        <v>108.6298</v>
      </c>
      <c r="F13" s="26">
        <f>D13-E13</f>
        <v/>
      </c>
      <c r="G13" s="27">
        <f>IF(ABS(F13)&lt;=0.00005,"да","НЕТ")</f>
        <v/>
      </c>
      <c r="H13" s="17" t="inlineStr">
        <is>
          <t>DISCLOSURE § 2.2</t>
        </is>
      </c>
    </row>
    <row r="14" ht="30" customHeight="1">
      <c r="A14" s="2" t="inlineStr">
        <is>
          <t>Это одна величина в двух системах измерения, а не два разных лимита. Фраза «пробит лимит 95 % по балансовому капиталу» — категориальная ошибка: числитель берётся из одной базы, знаменатель из другой.</t>
        </is>
      </c>
    </row>
    <row r="15">
      <c r="A15" s="22" t="inlineStr">
        <is>
          <t>3. Запас на реагирование M(T) = z(0,90) · σ_Δ · √T и жёлтая линия L − M(T)</t>
        </is>
      </c>
      <c r="B15" s="23" t="n"/>
      <c r="C15" s="23" t="n"/>
      <c r="D15" s="23" t="n"/>
      <c r="E15" s="23" t="n"/>
      <c r="F15" s="23" t="n"/>
      <c r="G15" s="23" t="n"/>
      <c r="H15" s="23" t="n"/>
    </row>
    <row r="16" ht="30" customHeight="1">
      <c r="A16" s="4" t="inlineStr">
        <is>
          <t>Запас M(T) при T = 1</t>
        </is>
      </c>
      <c r="B16" s="4" t="inlineStr">
        <is>
          <t>z(0,90) × σ_Δ × корень из T</t>
        </is>
      </c>
      <c r="C16" s="24" t="inlineStr">
        <is>
          <t>z_90*D6*SQRT(1)</t>
        </is>
      </c>
      <c r="D16" s="25">
        <f>z_90*D6*SQRT(1)</f>
        <v/>
      </c>
      <c r="E16" s="9" t="n">
        <v>5.2117</v>
      </c>
      <c r="F16" s="26">
        <f>D16-E16</f>
        <v/>
      </c>
      <c r="G16" s="27">
        <f>IF(ABS(F16)&lt;=0.00005,"да","НЕТ")</f>
        <v/>
      </c>
      <c r="H16" s="17" t="inlineStr">
        <is>
          <t>DISCLOSURE § 2.3</t>
        </is>
      </c>
    </row>
    <row r="17" ht="30" customHeight="1">
      <c r="A17" s="4" t="inlineStr">
        <is>
          <t>Жёлтая линия при T = 1</t>
        </is>
      </c>
      <c r="B17" s="4" t="inlineStr">
        <is>
          <t>L − M(T)</t>
        </is>
      </c>
      <c r="C17" s="24" t="inlineStr">
        <is>
          <t>D13-D16</t>
        </is>
      </c>
      <c r="D17" s="25">
        <f>D13-D16</f>
        <v/>
      </c>
      <c r="E17" s="9" t="n">
        <v>103.418</v>
      </c>
      <c r="F17" s="26">
        <f>D17-E17</f>
        <v/>
      </c>
      <c r="G17" s="27">
        <f>IF(ABS(F17)&lt;=0.00005,"да","НЕТ")</f>
        <v/>
      </c>
      <c r="H17" s="17" t="inlineStr">
        <is>
          <t>DISCLOSURE § 2.3</t>
        </is>
      </c>
    </row>
    <row r="18" ht="30" customHeight="1">
      <c r="A18" s="4" t="inlineStr">
        <is>
          <t>Наблюдений выше жёлтой, T = 1</t>
        </is>
      </c>
      <c r="B18" s="4" t="inlineStr">
        <is>
          <t>сколько точек ряда не ниже жёлтой линии</t>
        </is>
      </c>
      <c r="C18" s="24" t="inlineStr">
        <is>
          <t>COUNTIF(v,"&gt;="&amp;D17)</t>
        </is>
      </c>
      <c r="D18" s="20">
        <f>COUNTIF(v,"&gt;="&amp;D17)</f>
        <v/>
      </c>
      <c r="E18" s="12" t="n">
        <v>1</v>
      </c>
      <c r="F18" s="26">
        <f>D18-E18</f>
        <v/>
      </c>
      <c r="G18" s="27">
        <f>IF(ABS(F18)&lt;=0.5,"да","НЕТ")</f>
        <v/>
      </c>
      <c r="H18" s="17" t="inlineStr">
        <is>
          <t>DISCLOSURE § 2.3, Р-Д3</t>
        </is>
      </c>
    </row>
    <row r="19" ht="30" customHeight="1">
      <c r="A19" s="4" t="inlineStr">
        <is>
          <t>Доля времени выше жёлтой, T = 1</t>
        </is>
      </c>
      <c r="B19" s="4" t="inlineStr">
        <is>
          <t>их доля от 36 наблюдений</t>
        </is>
      </c>
      <c r="C19" s="24" t="inlineStr">
        <is>
          <t>COUNTIF(v,"&gt;="&amp;D17)/COUNT(v)*100</t>
        </is>
      </c>
      <c r="D19" s="21">
        <f>COUNTIF(v,"&gt;="&amp;D17)/COUNT(v)*100</f>
        <v/>
      </c>
      <c r="E19" s="28" t="n">
        <v>2.8</v>
      </c>
      <c r="F19" s="26">
        <f>D19-E19</f>
        <v/>
      </c>
      <c r="G19" s="27">
        <f>IF(ABS(F19)&lt;=0.05,"да","НЕТ")</f>
        <v/>
      </c>
      <c r="H19" s="17" t="inlineStr">
        <is>
          <t>DISCLOSURE § 2.3, Р-Д3</t>
        </is>
      </c>
    </row>
    <row r="20" ht="30" customHeight="1">
      <c r="A20" s="4" t="inlineStr">
        <is>
          <t>Запас M(T) при T = 2</t>
        </is>
      </c>
      <c r="B20" s="4" t="inlineStr">
        <is>
          <t>z(0,90) × σ_Δ × корень из T</t>
        </is>
      </c>
      <c r="C20" s="24" t="inlineStr">
        <is>
          <t>z_90*D6*SQRT(2)</t>
        </is>
      </c>
      <c r="D20" s="25">
        <f>z_90*D6*SQRT(2)</f>
        <v/>
      </c>
      <c r="E20" s="9" t="n">
        <v>7.3705</v>
      </c>
      <c r="F20" s="26">
        <f>D20-E20</f>
        <v/>
      </c>
      <c r="G20" s="27">
        <f>IF(ABS(F20)&lt;=0.00005,"да","НЕТ")</f>
        <v/>
      </c>
      <c r="H20" s="17" t="inlineStr">
        <is>
          <t>DISCLOSURE § 2.3</t>
        </is>
      </c>
    </row>
    <row r="21" ht="30" customHeight="1">
      <c r="A21" s="4" t="inlineStr">
        <is>
          <t>Жёлтая линия при T = 2</t>
        </is>
      </c>
      <c r="B21" s="4" t="inlineStr">
        <is>
          <t>L − M(T)</t>
        </is>
      </c>
      <c r="C21" s="24" t="inlineStr">
        <is>
          <t>D13-D20</t>
        </is>
      </c>
      <c r="D21" s="25">
        <f>D13-D20</f>
        <v/>
      </c>
      <c r="E21" s="9" t="n">
        <v>101.2593</v>
      </c>
      <c r="F21" s="26">
        <f>D21-E21</f>
        <v/>
      </c>
      <c r="G21" s="27">
        <f>IF(ABS(F21)&lt;=0.00005,"да","НЕТ")</f>
        <v/>
      </c>
      <c r="H21" s="17" t="inlineStr">
        <is>
          <t>DISCLOSURE § 2.3</t>
        </is>
      </c>
    </row>
    <row r="22" ht="30" customHeight="1">
      <c r="A22" s="4" t="inlineStr">
        <is>
          <t>Наблюдений выше жёлтой, T = 2</t>
        </is>
      </c>
      <c r="B22" s="4" t="inlineStr">
        <is>
          <t>сколько точек ряда не ниже жёлтой линии</t>
        </is>
      </c>
      <c r="C22" s="24" t="inlineStr">
        <is>
          <t>COUNTIF(v,"&gt;="&amp;D21)</t>
        </is>
      </c>
      <c r="D22" s="20">
        <f>COUNTIF(v,"&gt;="&amp;D21)</f>
        <v/>
      </c>
      <c r="E22" s="12" t="n">
        <v>2</v>
      </c>
      <c r="F22" s="26">
        <f>D22-E22</f>
        <v/>
      </c>
      <c r="G22" s="27">
        <f>IF(ABS(F22)&lt;=0.5,"да","НЕТ")</f>
        <v/>
      </c>
      <c r="H22" s="17" t="inlineStr">
        <is>
          <t>DISCLOSURE § 2.3, Р-Д3</t>
        </is>
      </c>
    </row>
    <row r="23" ht="30" customHeight="1">
      <c r="A23" s="4" t="inlineStr">
        <is>
          <t>Доля времени выше жёлтой, T = 2</t>
        </is>
      </c>
      <c r="B23" s="4" t="inlineStr">
        <is>
          <t>их доля от 36 наблюдений</t>
        </is>
      </c>
      <c r="C23" s="24" t="inlineStr">
        <is>
          <t>COUNTIF(v,"&gt;="&amp;D21)/COUNT(v)*100</t>
        </is>
      </c>
      <c r="D23" s="21">
        <f>COUNTIF(v,"&gt;="&amp;D21)/COUNT(v)*100</f>
        <v/>
      </c>
      <c r="E23" s="28" t="n">
        <v>5.6</v>
      </c>
      <c r="F23" s="26">
        <f>D23-E23</f>
        <v/>
      </c>
      <c r="G23" s="27">
        <f>IF(ABS(F23)&lt;=0.05,"да","НЕТ")</f>
        <v/>
      </c>
      <c r="H23" s="17" t="inlineStr">
        <is>
          <t>DISCLOSURE § 2.3, Р-Д3</t>
        </is>
      </c>
    </row>
    <row r="24" ht="30" customHeight="1">
      <c r="A24" s="4" t="inlineStr">
        <is>
          <t>Запас M(T) при T = 3</t>
        </is>
      </c>
      <c r="B24" s="4" t="inlineStr">
        <is>
          <t>z(0,90) × σ_Δ × корень из T</t>
        </is>
      </c>
      <c r="C24" s="24" t="inlineStr">
        <is>
          <t>z_90*D6*SQRT(3)</t>
        </is>
      </c>
      <c r="D24" s="25">
        <f>z_90*D6*SQRT(3)</f>
        <v/>
      </c>
      <c r="E24" s="9" t="n">
        <v>9.026999999999999</v>
      </c>
      <c r="F24" s="26">
        <f>D24-E24</f>
        <v/>
      </c>
      <c r="G24" s="27">
        <f>IF(ABS(F24)&lt;=0.00005,"да","НЕТ")</f>
        <v/>
      </c>
      <c r="H24" s="17" t="inlineStr">
        <is>
          <t>DISCLOSURE § 2.3</t>
        </is>
      </c>
    </row>
    <row r="25" ht="30" customHeight="1">
      <c r="A25" s="4" t="inlineStr">
        <is>
          <t>Жёлтая линия при T = 3</t>
        </is>
      </c>
      <c r="B25" s="4" t="inlineStr">
        <is>
          <t>L − M(T)</t>
        </is>
      </c>
      <c r="C25" s="24" t="inlineStr">
        <is>
          <t>D13-D24</t>
        </is>
      </c>
      <c r="D25" s="25">
        <f>D13-D24</f>
        <v/>
      </c>
      <c r="E25" s="9" t="n">
        <v>99.6028</v>
      </c>
      <c r="F25" s="26">
        <f>D25-E25</f>
        <v/>
      </c>
      <c r="G25" s="27">
        <f>IF(ABS(F25)&lt;=0.00005,"да","НЕТ")</f>
        <v/>
      </c>
      <c r="H25" s="17" t="inlineStr">
        <is>
          <t>DISCLOSURE § 2.3</t>
        </is>
      </c>
    </row>
    <row r="26" ht="30" customHeight="1">
      <c r="A26" s="4" t="inlineStr">
        <is>
          <t>Наблюдений выше жёлтой, T = 3</t>
        </is>
      </c>
      <c r="B26" s="4" t="inlineStr">
        <is>
          <t>сколько точек ряда не ниже жёлтой линии</t>
        </is>
      </c>
      <c r="C26" s="24" t="inlineStr">
        <is>
          <t>COUNTIF(v,"&gt;="&amp;D25)</t>
        </is>
      </c>
      <c r="D26" s="20">
        <f>COUNTIF(v,"&gt;="&amp;D25)</f>
        <v/>
      </c>
      <c r="E26" s="12" t="n">
        <v>4</v>
      </c>
      <c r="F26" s="26">
        <f>D26-E26</f>
        <v/>
      </c>
      <c r="G26" s="27">
        <f>IF(ABS(F26)&lt;=0.5,"да","НЕТ")</f>
        <v/>
      </c>
      <c r="H26" s="17" t="inlineStr">
        <is>
          <t>DISCLOSURE § 2.3, Р-Д3</t>
        </is>
      </c>
    </row>
    <row r="27" ht="30" customHeight="1">
      <c r="A27" s="4" t="inlineStr">
        <is>
          <t>Доля времени выше жёлтой, T = 3</t>
        </is>
      </c>
      <c r="B27" s="4" t="inlineStr">
        <is>
          <t>их доля от 36 наблюдений</t>
        </is>
      </c>
      <c r="C27" s="24" t="inlineStr">
        <is>
          <t>COUNTIF(v,"&gt;="&amp;D25)/COUNT(v)*100</t>
        </is>
      </c>
      <c r="D27" s="21">
        <f>COUNTIF(v,"&gt;="&amp;D25)/COUNT(v)*100</f>
        <v/>
      </c>
      <c r="E27" s="28" t="n">
        <v>11.1</v>
      </c>
      <c r="F27" s="26">
        <f>D27-E27</f>
        <v/>
      </c>
      <c r="G27" s="27">
        <f>IF(ABS(F27)&lt;=0.05,"да","НЕТ")</f>
        <v/>
      </c>
      <c r="H27" s="17" t="inlineStr">
        <is>
          <t>DISCLOSURE § 2.3, Р-Д3</t>
        </is>
      </c>
    </row>
    <row r="28" ht="30" customHeight="1">
      <c r="A28" s="4" t="inlineStr">
        <is>
          <t>Запас M(T) при T = 4</t>
        </is>
      </c>
      <c r="B28" s="4" t="inlineStr">
        <is>
          <t>z(0,90) × σ_Δ × корень из T</t>
        </is>
      </c>
      <c r="C28" s="24" t="inlineStr">
        <is>
          <t>z_90*D6*SQRT(4)</t>
        </is>
      </c>
      <c r="D28" s="25">
        <f>z_90*D6*SQRT(4)</f>
        <v/>
      </c>
      <c r="E28" s="9" t="n">
        <v>10.4235</v>
      </c>
      <c r="F28" s="26">
        <f>D28-E28</f>
        <v/>
      </c>
      <c r="G28" s="27">
        <f>IF(ABS(F28)&lt;=0.00005,"да","НЕТ")</f>
        <v/>
      </c>
      <c r="H28" s="17" t="inlineStr">
        <is>
          <t>DISCLOSURE § 2.3</t>
        </is>
      </c>
    </row>
    <row r="29" ht="30" customHeight="1">
      <c r="A29" s="4" t="inlineStr">
        <is>
          <t>Жёлтая линия при T = 4</t>
        </is>
      </c>
      <c r="B29" s="4" t="inlineStr">
        <is>
          <t>L − M(T)</t>
        </is>
      </c>
      <c r="C29" s="24" t="inlineStr">
        <is>
          <t>D13-D28</t>
        </is>
      </c>
      <c r="D29" s="25">
        <f>D13-D28</f>
        <v/>
      </c>
      <c r="E29" s="9" t="n">
        <v>98.2063</v>
      </c>
      <c r="F29" s="26">
        <f>D29-E29</f>
        <v/>
      </c>
      <c r="G29" s="27">
        <f>IF(ABS(F29)&lt;=0.00005,"да","НЕТ")</f>
        <v/>
      </c>
      <c r="H29" s="17" t="inlineStr">
        <is>
          <t>DISCLOSURE § 2.3</t>
        </is>
      </c>
    </row>
    <row r="30" ht="30" customHeight="1">
      <c r="A30" s="4" t="inlineStr">
        <is>
          <t>Наблюдений выше жёлтой, T = 4</t>
        </is>
      </c>
      <c r="B30" s="4" t="inlineStr">
        <is>
          <t>сколько точек ряда не ниже жёлтой линии</t>
        </is>
      </c>
      <c r="C30" s="24" t="inlineStr">
        <is>
          <t>COUNTIF(v,"&gt;="&amp;D29)</t>
        </is>
      </c>
      <c r="D30" s="20">
        <f>COUNTIF(v,"&gt;="&amp;D29)</f>
        <v/>
      </c>
      <c r="E30" s="12" t="n">
        <v>6</v>
      </c>
      <c r="F30" s="26">
        <f>D30-E30</f>
        <v/>
      </c>
      <c r="G30" s="27">
        <f>IF(ABS(F30)&lt;=0.5,"да","НЕТ")</f>
        <v/>
      </c>
      <c r="H30" s="17" t="inlineStr">
        <is>
          <t>DISCLOSURE § 2.3, Р-Д3</t>
        </is>
      </c>
    </row>
    <row r="31" ht="30" customHeight="1">
      <c r="A31" s="4" t="inlineStr">
        <is>
          <t>Доля времени выше жёлтой, T = 4</t>
        </is>
      </c>
      <c r="B31" s="4" t="inlineStr">
        <is>
          <t>их доля от 36 наблюдений</t>
        </is>
      </c>
      <c r="C31" s="24" t="inlineStr">
        <is>
          <t>COUNTIF(v,"&gt;="&amp;D29)/COUNT(v)*100</t>
        </is>
      </c>
      <c r="D31" s="21">
        <f>COUNTIF(v,"&gt;="&amp;D29)/COUNT(v)*100</f>
        <v/>
      </c>
      <c r="E31" s="28" t="n">
        <v>16.7</v>
      </c>
      <c r="F31" s="26">
        <f>D31-E31</f>
        <v/>
      </c>
      <c r="G31" s="27">
        <f>IF(ABS(F31)&lt;=0.05,"да","НЕТ")</f>
        <v/>
      </c>
      <c r="H31" s="17" t="inlineStr">
        <is>
          <t>DISCLOSURE § 2.3, Р-Д3</t>
        </is>
      </c>
    </row>
    <row r="32" ht="30" customHeight="1">
      <c r="A32" s="2" t="inlineStr">
        <is>
          <t>Р-Д3: доля в процентах от 36 наблюдений читается точнее, чем есть. 2,8 % — это одно наблюдение, 11,1 % — четыре. На комитете доля называется только вместе с числом наблюдений, поэтому строка «Наблюдений» стоит выше строки «Доля», а не под ней.</t>
        </is>
      </c>
    </row>
    <row r="33">
      <c r="A33" s="22" t="inlineStr">
        <is>
          <t>4. Квантили ряда (метод C). Линейная интерполяция между порядковыми статистиками</t>
        </is>
      </c>
      <c r="B33" s="23" t="n"/>
      <c r="C33" s="23" t="n"/>
      <c r="D33" s="23" t="n"/>
      <c r="E33" s="23" t="n"/>
      <c r="F33" s="23" t="n"/>
      <c r="G33" s="23" t="n"/>
      <c r="H33" s="23" t="n"/>
    </row>
    <row r="34" ht="30" customHeight="1">
      <c r="A34" s="4" t="inlineStr">
        <is>
          <t>Квантиль 85 %</t>
        </is>
      </c>
      <c r="B34" s="4" t="inlineStr">
        <is>
          <t>значение, ниже которого лежит 85 % ряда</t>
        </is>
      </c>
      <c r="C34" s="24" t="inlineStr">
        <is>
          <t>PERCENTILE(v,0.85)</t>
        </is>
      </c>
      <c r="D34" s="25">
        <f>PERCENTILE(v,0.85)</f>
        <v/>
      </c>
      <c r="E34" s="9" t="n">
        <v>98.1887</v>
      </c>
      <c r="F34" s="26">
        <f>D34-E34</f>
        <v/>
      </c>
      <c r="G34" s="27">
        <f>IF(ABS(F34)&lt;=0.00005,"да","НЕТ")</f>
        <v/>
      </c>
      <c r="H34" s="17" t="inlineStr">
        <is>
          <t>DISCLOSURE § 2.5</t>
        </is>
      </c>
    </row>
    <row r="35" ht="30" customHeight="1">
      <c r="A35" s="4" t="inlineStr">
        <is>
          <t>Квантиль 90 %</t>
        </is>
      </c>
      <c r="B35" s="4" t="inlineStr">
        <is>
          <t>значение, ниже которого лежит 90 % ряда</t>
        </is>
      </c>
      <c r="C35" s="24" t="inlineStr">
        <is>
          <t>PERCENTILE(v,0.90)</t>
        </is>
      </c>
      <c r="D35" s="25">
        <f>PERCENTILE(v,0.90)</f>
        <v/>
      </c>
      <c r="E35" s="9" t="n">
        <v>99.5485</v>
      </c>
      <c r="F35" s="26">
        <f>D35-E35</f>
        <v/>
      </c>
      <c r="G35" s="27">
        <f>IF(ABS(F35)&lt;=0.00005,"да","НЕТ")</f>
        <v/>
      </c>
      <c r="H35" s="17" t="inlineStr">
        <is>
          <t>DISCLOSURE § 2.5</t>
        </is>
      </c>
    </row>
    <row r="36" ht="30" customHeight="1">
      <c r="A36" s="4" t="inlineStr">
        <is>
          <t>Квантиль 95 %</t>
        </is>
      </c>
      <c r="B36" s="4" t="inlineStr">
        <is>
          <t>значение, ниже которого лежит 95 % ряда</t>
        </is>
      </c>
      <c r="C36" s="24" t="inlineStr">
        <is>
          <t>PERCENTILE(v,0.95)</t>
        </is>
      </c>
      <c r="D36" s="25">
        <f>PERCENTILE(v,0.95)</f>
        <v/>
      </c>
      <c r="E36" s="9" t="n">
        <v>101.0117</v>
      </c>
      <c r="F36" s="26">
        <f>D36-E36</f>
        <v/>
      </c>
      <c r="G36" s="27">
        <f>IF(ABS(F36)&lt;=0.00005,"да","НЕТ")</f>
        <v/>
      </c>
      <c r="H36" s="17" t="inlineStr">
        <is>
          <t>DISCLOSURE § 2.5</t>
        </is>
      </c>
    </row>
    <row r="37">
      <c r="A37" s="22" t="inlineStr">
        <is>
          <t>5. Два независимых пути к одному уровню</t>
        </is>
      </c>
      <c r="B37" s="23" t="n"/>
      <c r="C37" s="23" t="n"/>
      <c r="D37" s="23" t="n"/>
      <c r="E37" s="23" t="n"/>
      <c r="F37" s="23" t="n"/>
      <c r="G37" s="23" t="n"/>
      <c r="H37" s="23" t="n"/>
    </row>
    <row r="38" ht="30" customHeight="1">
      <c r="A38" s="4" t="inlineStr">
        <is>
          <t>Метод H: квантиль 90 % + запас T = 3</t>
        </is>
      </c>
      <c r="B38" s="4" t="inlineStr">
        <is>
          <t>квантиль₉₀(v) + M(3)</t>
        </is>
      </c>
      <c r="C38" s="24" t="inlineStr">
        <is>
          <t>D35+D24</t>
        </is>
      </c>
      <c r="D38" s="25">
        <f>D35+D24</f>
        <v/>
      </c>
      <c r="E38" s="9" t="n">
        <v>108.5755</v>
      </c>
      <c r="F38" s="26">
        <f>D38-E38</f>
        <v/>
      </c>
      <c r="G38" s="27">
        <f>IF(ABS(F38)&lt;=0.00005,"да","НЕТ")</f>
        <v/>
      </c>
      <c r="H38" s="17" t="inlineStr">
        <is>
          <t>DISCLOSURE § 2.4</t>
        </is>
      </c>
    </row>
    <row r="39" ht="30" customHeight="1">
      <c r="A39" s="4" t="inlineStr">
        <is>
          <t>Расхождение двух путей</t>
        </is>
      </c>
      <c r="B39" s="4" t="inlineStr">
        <is>
          <t>L (пересчёт базы) − H (цикл решения)</t>
        </is>
      </c>
      <c r="C39" s="24" t="inlineStr">
        <is>
          <t>D13-D38</t>
        </is>
      </c>
      <c r="D39" s="25">
        <f>D13-D38</f>
        <v/>
      </c>
      <c r="E39" s="9" t="n">
        <v>0.0543</v>
      </c>
      <c r="F39" s="26">
        <f>D39-E39</f>
        <v/>
      </c>
      <c r="G39" s="27">
        <f>IF(ABS(F39)&lt;=0.00005,"да","НЕТ")</f>
        <v/>
      </c>
      <c r="H39" s="17" t="inlineStr">
        <is>
          <t>DISCLOSURE § 2.4</t>
        </is>
      </c>
    </row>
    <row r="40" ht="30" customHeight="1">
      <c r="A40" s="2" t="inlineStr">
        <is>
          <t>Главный довод против упрёка «уровень подогнан под факт»: пути не связаны по построению. Первый смотрит на отношение баз капитала, второй — на распределение ряда и длину процесса. Сходятся на 0,05 пп.</t>
        </is>
      </c>
    </row>
    <row r="41">
      <c r="A41" s="22" t="inlineStr">
        <is>
          <t>6. Производные метрики</t>
        </is>
      </c>
      <c r="B41" s="23" t="n"/>
      <c r="C41" s="23" t="n"/>
      <c r="D41" s="23" t="n"/>
      <c r="E41" s="23" t="n"/>
      <c r="F41" s="23" t="n"/>
      <c r="G41" s="23" t="n"/>
      <c r="H41" s="23" t="n"/>
    </row>
    <row r="42" ht="30" customHeight="1">
      <c r="A42" s="4" t="inlineStr">
        <is>
          <t>D — расстояние до L, в σ</t>
        </is>
      </c>
      <c r="B42" s="4" t="inlineStr">
        <is>
          <t>(L − текущая точка) / σ_Δ</t>
        </is>
      </c>
      <c r="C42" s="24" t="inlineStr">
        <is>
          <t>(D13-D9)/D6</t>
        </is>
      </c>
      <c r="D42" s="29">
        <f>(D13-D9)/D6</f>
        <v/>
      </c>
      <c r="E42" s="30" t="n">
        <v>1.752</v>
      </c>
      <c r="F42" s="26">
        <f>D42-E42</f>
        <v/>
      </c>
      <c r="G42" s="27">
        <f>IF(ABS(F42)&lt;=0.0005,"да","НЕТ")</f>
        <v/>
      </c>
      <c r="H42" s="17" t="inlineStr">
        <is>
          <t>DISCLOSURE § 2.6</t>
        </is>
      </c>
    </row>
    <row r="43" ht="30" customHeight="1">
      <c r="A43" s="4" t="inlineStr">
        <is>
          <t>D при сохранении L = 95</t>
        </is>
      </c>
      <c r="B43" s="4" t="inlineStr">
        <is>
          <t>(95 − текущая точка) / σ_Δ</t>
        </is>
      </c>
      <c r="C43" s="24" t="inlineStr">
        <is>
          <t>(L_reg-D9)/D6</t>
        </is>
      </c>
      <c r="D43" s="29">
        <f>(L_reg-D9)/D6</f>
        <v/>
      </c>
      <c r="E43" s="30" t="n">
        <v>-1.599</v>
      </c>
      <c r="F43" s="26">
        <f>D43-E43</f>
        <v/>
      </c>
      <c r="G43" s="27">
        <f>IF(ABS(F43)&lt;=0.0005,"да","НЕТ")</f>
        <v/>
      </c>
      <c r="H43" s="17" t="inlineStr">
        <is>
          <t>DISCLOSURE § 2.6</t>
        </is>
      </c>
    </row>
    <row r="44" ht="30" customHeight="1">
      <c r="A44" s="4" t="inlineStr">
        <is>
          <t>F — падение СК до достижения L, %</t>
        </is>
      </c>
      <c r="B44" s="4" t="inlineStr">
        <is>
          <t>текущая точка / L − 1, в процентах</t>
        </is>
      </c>
      <c r="C44" s="24" t="inlineStr">
        <is>
          <t>(D9/D13-1)*100</t>
        </is>
      </c>
      <c r="D44" s="19">
        <f>(D9/D13-1)*100</f>
        <v/>
      </c>
      <c r="E44" s="11" t="n">
        <v>-6.56</v>
      </c>
      <c r="F44" s="26">
        <f>D44-E44</f>
        <v/>
      </c>
      <c r="G44" s="27">
        <f>IF(ABS(F44)&lt;=0.005,"да","НЕТ")</f>
        <v/>
      </c>
      <c r="H44" s="17" t="inlineStr">
        <is>
          <t>DISCLOSURE § 2.6</t>
        </is>
      </c>
    </row>
    <row r="45" ht="30" customHeight="1">
      <c r="A45" s="4" t="inlineStr">
        <is>
          <t>Метод B: максимум + 2σ_B</t>
        </is>
      </c>
      <c r="B45" s="4" t="inlineStr">
        <is>
          <t>max(v) + 2 × σ метода B</t>
        </is>
      </c>
      <c r="C45" s="24" t="inlineStr">
        <is>
          <t>D10+2*D7</t>
        </is>
      </c>
      <c r="D45" s="25">
        <f>D10+2*D7</f>
        <v/>
      </c>
      <c r="E45" s="9" t="n">
        <v>113.1655</v>
      </c>
      <c r="F45" s="26">
        <f>D45-E45</f>
        <v/>
      </c>
      <c r="G45" s="27">
        <f>IF(ABS(F45)&lt;=0.00005,"да","НЕТ")</f>
        <v/>
      </c>
      <c r="H45" s="17" t="inlineStr">
        <is>
          <t>DISCLOSURE Р-Д1</t>
        </is>
      </c>
    </row>
    <row r="46">
      <c r="A46" s="22" t="inlineStr">
        <is>
          <t>7. Цена решения «уровень не трогаем»: обратный счёт при L = 95</t>
        </is>
      </c>
      <c r="B46" s="23" t="n"/>
      <c r="C46" s="23" t="n"/>
      <c r="D46" s="23" t="n"/>
      <c r="E46" s="23" t="n"/>
      <c r="F46" s="23" t="n"/>
      <c r="G46" s="23" t="n"/>
      <c r="H46" s="23" t="n"/>
    </row>
    <row r="47" ht="30" customHeight="1">
      <c r="A47" s="4" t="inlineStr">
        <is>
          <t>Жёлтая линия при L = 95</t>
        </is>
      </c>
      <c r="B47" s="4" t="inlineStr">
        <is>
          <t>95 − M(3)</t>
        </is>
      </c>
      <c r="C47" s="24" t="inlineStr">
        <is>
          <t>L_reg-D24</t>
        </is>
      </c>
      <c r="D47" s="25">
        <f>L_reg-D24</f>
        <v/>
      </c>
      <c r="E47" s="9" t="n">
        <v>85.973</v>
      </c>
      <c r="F47" s="26">
        <f>D47-E47</f>
        <v/>
      </c>
      <c r="G47" s="27">
        <f>IF(ABS(F47)&lt;=0.00005,"да","НЕТ")</f>
        <v/>
      </c>
      <c r="H47" s="17" t="inlineStr">
        <is>
          <t>DISCLOSURE § 2.6</t>
        </is>
      </c>
    </row>
    <row r="48" ht="30" customHeight="1">
      <c r="A48" s="4" t="inlineStr">
        <is>
          <t>Наблюдений выше неё</t>
        </is>
      </c>
      <c r="B48" s="4" t="inlineStr">
        <is>
          <t>сколько точек ряда не ниже 85,97</t>
        </is>
      </c>
      <c r="C48" s="24" t="inlineStr">
        <is>
          <t>COUNTIF(v,"&gt;="&amp;D47)</t>
        </is>
      </c>
      <c r="D48" s="20">
        <f>COUNTIF(v,"&gt;="&amp;D47)</f>
        <v/>
      </c>
      <c r="E48" s="12" t="n">
        <v>31</v>
      </c>
      <c r="F48" s="26">
        <f>D48-E48</f>
        <v/>
      </c>
      <c r="G48" s="27">
        <f>IF(ABS(F48)&lt;=0.5,"да","НЕТ")</f>
        <v/>
      </c>
      <c r="H48" s="17" t="inlineStr">
        <is>
          <t>DISCLOSURE § 2.6</t>
        </is>
      </c>
    </row>
    <row r="49" ht="30" customHeight="1">
      <c r="A49" s="4" t="inlineStr">
        <is>
          <t>Доля времени выше неё</t>
        </is>
      </c>
      <c r="B49" s="4" t="inlineStr">
        <is>
          <t>их доля от 36 наблюдений</t>
        </is>
      </c>
      <c r="C49" s="24" t="inlineStr">
        <is>
          <t>COUNTIF(v,"&gt;="&amp;D47)/COUNT(v)*100</t>
        </is>
      </c>
      <c r="D49" s="21">
        <f>COUNTIF(v,"&gt;="&amp;D47)/COUNT(v)*100</f>
        <v/>
      </c>
      <c r="E49" s="28" t="n">
        <v>86.09999999999999</v>
      </c>
      <c r="F49" s="26">
        <f>D49-E49</f>
        <v/>
      </c>
      <c r="G49" s="27">
        <f>IF(ABS(F49)&lt;=0.05,"да","НЕТ")</f>
        <v/>
      </c>
      <c r="H49" s="17" t="inlineStr">
        <is>
          <t>DISCLOSURE § 2.6</t>
        </is>
      </c>
    </row>
    <row r="50" ht="28" customHeight="1">
      <c r="A50" s="2" t="inlineStr">
        <is>
          <t>31 наблюдение из 36 — это светофор с постоянно горящей жёлтой лампой. Именно это число отвечает на предложение «оставить 95 % и ничего не менять».</t>
        </is>
      </c>
    </row>
    <row r="52" ht="32" customHeight="1">
      <c r="A52" s="31" t="inlineStr">
        <is>
          <t>Строк не сошлось</t>
        </is>
      </c>
      <c r="B52" s="32">
        <f>COUNTIF(G6:G49,"НЕТ")</f>
        <v/>
      </c>
      <c r="C52" s="33" t="inlineStr">
        <is>
          <t>Ноль означает: все опубликованные числа воспроизводятся формулами этой книги. Это не означает, что формулы верны по существу — воспроизводимость и правильность разные вещи.</t>
        </is>
      </c>
      <c r="D52" s="34" t="n"/>
      <c r="E52" s="34" t="n"/>
      <c r="F52" s="34" t="n"/>
      <c r="G52" s="34" t="n"/>
      <c r="H52" s="35" t="n"/>
    </row>
  </sheetData>
  <mergeCells count="6">
    <mergeCell ref="A50:H50"/>
    <mergeCell ref="A2:H2"/>
    <mergeCell ref="C52:H52"/>
    <mergeCell ref="A14:H14"/>
    <mergeCell ref="A32:H32"/>
    <mergeCell ref="A40:H4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13" customWidth="1" min="3" max="3"/>
    <col width="13" customWidth="1" min="4" max="4"/>
    <col width="56" customWidth="1" min="5" max="5"/>
  </cols>
  <sheetData>
    <row r="1">
      <c r="A1" s="1" t="inlineStr">
        <is>
          <t>Р-Д1: в таблице восьми методов три разные σ</t>
        </is>
      </c>
    </row>
    <row r="2">
      <c r="A2" s="14" t="inlineStr">
        <is>
          <t>Это первый вопрос, который задаст любой, кто читает таблицу методов внимательно. Ответ лучше дать самому, до вопроса.</t>
        </is>
      </c>
    </row>
    <row r="4">
      <c r="A4" s="15" t="inlineStr">
        <is>
          <t>Методы</t>
        </is>
      </c>
      <c r="B4" s="15" t="inlineStr">
        <is>
          <t>Какая σ</t>
        </is>
      </c>
      <c r="C4" s="15" t="inlineStr">
        <is>
          <t>Значение</t>
        </is>
      </c>
      <c r="D4" s="15" t="inlineStr">
        <is>
          <t>К σ_Δ</t>
        </is>
      </c>
      <c r="E4" s="15" t="inlineStr">
        <is>
          <t>Что из этого следует</t>
        </is>
      </c>
    </row>
    <row r="5" ht="46" customHeight="1">
      <c r="A5" s="36" t="inlineStr">
        <is>
          <t>D, H</t>
        </is>
      </c>
      <c r="B5" s="4" t="inlineStr">
        <is>
          <t>выборочное с.к.о. приростов, все 35</t>
        </is>
      </c>
      <c r="C5" s="25">
        <f>'Расчёт'!D6</f>
        <v/>
      </c>
      <c r="D5" s="37">
        <f>C5/'Расчёт'!D6</f>
        <v/>
      </c>
      <c r="E5" s="17" t="inlineStr">
        <is>
          <t>Базовая. На ней стоят запас M(T) и расстояние D</t>
        </is>
      </c>
    </row>
    <row r="6" ht="46" customHeight="1">
      <c r="A6" s="36" t="inlineStr">
        <is>
          <t>B</t>
        </is>
      </c>
      <c r="B6" s="4" t="inlineStr">
        <is>
          <t>популяционное с.к.о. приростов без двух, примыкающих к выбросу 01.2024</t>
        </is>
      </c>
      <c r="C6" s="25">
        <f>'Расчёт'!D7</f>
        <v/>
      </c>
      <c r="D6" s="37">
        <f>C6/'Расчёт'!D6</f>
        <v/>
      </c>
      <c r="E6" s="17" t="inlineStr">
        <is>
          <t>На 11 % меньше базовой — и метод получает за это более высокую жёлтую линию. Основание исключать режимный выброс есть, но в тексте методов оно не написано и восстановлено обратным счётом от опубликованных 113,17</t>
        </is>
      </c>
    </row>
    <row r="7" ht="46" customHeight="1">
      <c r="A7" s="36" t="inlineStr">
        <is>
          <t>М1</t>
        </is>
      </c>
      <c r="B7" s="4" t="inlineStr">
        <is>
          <t>выборочное с.к.о. самих уровней, не приростов</t>
        </is>
      </c>
      <c r="C7" s="25">
        <f>'Расчёт'!D8</f>
        <v/>
      </c>
      <c r="D7" s="37">
        <f>C7/'Расчёт'!D6</f>
        <v/>
      </c>
      <c r="E7" s="17" t="inlineStr">
        <is>
          <t>Мера разброса уровня за три года, а не месячного хода. С первыми двумя несопоставима в принципе</t>
        </is>
      </c>
    </row>
    <row r="9" ht="60" customHeight="1">
      <c r="A9" s="38" t="inlineStr">
        <is>
          <t>Что с этим делать. Либо привести все методы к одной σ, либо назвать σ каждого прямо в строке таблицы методов. Второе честнее: у метода B есть содержательное основание исключать режимный выброс — но основание должно быть написано, а не восстанавливаться обратным счётом. Метод, защищаемый в собственных терминах, несравним с методом, защищаемым в своих.</t>
        </is>
      </c>
    </row>
  </sheetData>
  <mergeCells count="1">
    <mergeCell ref="A9:E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Триггеры на движение: ΔСК ≤ −3 % или ΔЗайм ≥ +5 % за месяц</t>
        </is>
      </c>
    </row>
    <row r="2" ht="28" customHeight="1">
      <c r="A2" s="2" t="inlineStr">
        <is>
          <t>Срабатывают независимо от зоны. Все 35 приростов показаны целиком — выборка из шести строк была бы недоказуема: не видно, что остальные 29 условию не отвечают.</t>
        </is>
      </c>
    </row>
    <row r="4">
      <c r="A4" s="15" t="inlineStr">
        <is>
          <t>Дата</t>
        </is>
      </c>
      <c r="B4" s="15" t="inlineStr">
        <is>
          <t>ΔСК, %</t>
        </is>
      </c>
      <c r="C4" s="15" t="inlineStr">
        <is>
          <t>ΔЗайм, %</t>
        </is>
      </c>
      <c r="D4" s="15" t="inlineStr">
        <is>
          <t>Коэффициент</t>
        </is>
      </c>
      <c r="E4" s="15" t="inlineStr">
        <is>
          <t>Что сработало</t>
        </is>
      </c>
    </row>
    <row r="5">
      <c r="A5" s="6">
        <f>'Ряд'!A6</f>
        <v/>
      </c>
      <c r="B5" s="11">
        <f>'Ряд'!G6</f>
        <v/>
      </c>
      <c r="C5" s="11">
        <f>'Ряд'!H6</f>
        <v/>
      </c>
      <c r="D5" s="11">
        <f>'Ряд'!E6</f>
        <v/>
      </c>
      <c r="E5" s="6">
        <f>'Ряд'!K6</f>
        <v/>
      </c>
    </row>
    <row r="6">
      <c r="A6" s="6">
        <f>'Ряд'!A7</f>
        <v/>
      </c>
      <c r="B6" s="11">
        <f>'Ряд'!G7</f>
        <v/>
      </c>
      <c r="C6" s="11">
        <f>'Ряд'!H7</f>
        <v/>
      </c>
      <c r="D6" s="11">
        <f>'Ряд'!E7</f>
        <v/>
      </c>
      <c r="E6" s="6">
        <f>'Ряд'!K7</f>
        <v/>
      </c>
    </row>
    <row r="7">
      <c r="A7" s="6">
        <f>'Ряд'!A8</f>
        <v/>
      </c>
      <c r="B7" s="11">
        <f>'Ряд'!G8</f>
        <v/>
      </c>
      <c r="C7" s="11">
        <f>'Ряд'!H8</f>
        <v/>
      </c>
      <c r="D7" s="11">
        <f>'Ряд'!E8</f>
        <v/>
      </c>
      <c r="E7" s="6">
        <f>'Ряд'!K8</f>
        <v/>
      </c>
    </row>
    <row r="8">
      <c r="A8" s="6">
        <f>'Ряд'!A9</f>
        <v/>
      </c>
      <c r="B8" s="11">
        <f>'Ряд'!G9</f>
        <v/>
      </c>
      <c r="C8" s="11">
        <f>'Ряд'!H9</f>
        <v/>
      </c>
      <c r="D8" s="11">
        <f>'Ряд'!E9</f>
        <v/>
      </c>
      <c r="E8" s="6">
        <f>'Ряд'!K9</f>
        <v/>
      </c>
    </row>
    <row r="9">
      <c r="A9" s="6">
        <f>'Ряд'!A10</f>
        <v/>
      </c>
      <c r="B9" s="11">
        <f>'Ряд'!G10</f>
        <v/>
      </c>
      <c r="C9" s="11">
        <f>'Ряд'!H10</f>
        <v/>
      </c>
      <c r="D9" s="11">
        <f>'Ряд'!E10</f>
        <v/>
      </c>
      <c r="E9" s="6">
        <f>'Ряд'!K10</f>
        <v/>
      </c>
    </row>
    <row r="10">
      <c r="A10" s="6">
        <f>'Ряд'!A11</f>
        <v/>
      </c>
      <c r="B10" s="11">
        <f>'Ряд'!G11</f>
        <v/>
      </c>
      <c r="C10" s="11">
        <f>'Ряд'!H11</f>
        <v/>
      </c>
      <c r="D10" s="11">
        <f>'Ряд'!E11</f>
        <v/>
      </c>
      <c r="E10" s="6">
        <f>'Ряд'!K11</f>
        <v/>
      </c>
    </row>
    <row r="11">
      <c r="A11" s="6">
        <f>'Ряд'!A12</f>
        <v/>
      </c>
      <c r="B11" s="11">
        <f>'Ряд'!G12</f>
        <v/>
      </c>
      <c r="C11" s="11">
        <f>'Ряд'!H12</f>
        <v/>
      </c>
      <c r="D11" s="11">
        <f>'Ряд'!E12</f>
        <v/>
      </c>
      <c r="E11" s="6">
        <f>'Ряд'!K12</f>
        <v/>
      </c>
    </row>
    <row r="12">
      <c r="A12" s="6">
        <f>'Ряд'!A13</f>
        <v/>
      </c>
      <c r="B12" s="11">
        <f>'Ряд'!G13</f>
        <v/>
      </c>
      <c r="C12" s="11">
        <f>'Ряд'!H13</f>
        <v/>
      </c>
      <c r="D12" s="11">
        <f>'Ряд'!E13</f>
        <v/>
      </c>
      <c r="E12" s="6">
        <f>'Ряд'!K13</f>
        <v/>
      </c>
    </row>
    <row r="13">
      <c r="A13" s="6">
        <f>'Ряд'!A14</f>
        <v/>
      </c>
      <c r="B13" s="11">
        <f>'Ряд'!G14</f>
        <v/>
      </c>
      <c r="C13" s="11">
        <f>'Ряд'!H14</f>
        <v/>
      </c>
      <c r="D13" s="11">
        <f>'Ряд'!E14</f>
        <v/>
      </c>
      <c r="E13" s="6">
        <f>'Ряд'!K14</f>
        <v/>
      </c>
    </row>
    <row r="14">
      <c r="A14" s="6">
        <f>'Ряд'!A15</f>
        <v/>
      </c>
      <c r="B14" s="11">
        <f>'Ряд'!G15</f>
        <v/>
      </c>
      <c r="C14" s="11">
        <f>'Ряд'!H15</f>
        <v/>
      </c>
      <c r="D14" s="11">
        <f>'Ряд'!E15</f>
        <v/>
      </c>
      <c r="E14" s="6">
        <f>'Ряд'!K15</f>
        <v/>
      </c>
    </row>
    <row r="15">
      <c r="A15" s="6">
        <f>'Ряд'!A16</f>
        <v/>
      </c>
      <c r="B15" s="11">
        <f>'Ряд'!G16</f>
        <v/>
      </c>
      <c r="C15" s="11">
        <f>'Ряд'!H16</f>
        <v/>
      </c>
      <c r="D15" s="11">
        <f>'Ряд'!E16</f>
        <v/>
      </c>
      <c r="E15" s="6">
        <f>'Ряд'!K16</f>
        <v/>
      </c>
    </row>
    <row r="16">
      <c r="A16" s="6">
        <f>'Ряд'!A17</f>
        <v/>
      </c>
      <c r="B16" s="11">
        <f>'Ряд'!G17</f>
        <v/>
      </c>
      <c r="C16" s="11">
        <f>'Ряд'!H17</f>
        <v/>
      </c>
      <c r="D16" s="11">
        <f>'Ряд'!E17</f>
        <v/>
      </c>
      <c r="E16" s="6">
        <f>'Ряд'!K17</f>
        <v/>
      </c>
    </row>
    <row r="17">
      <c r="A17" s="6">
        <f>'Ряд'!A18</f>
        <v/>
      </c>
      <c r="B17" s="11">
        <f>'Ряд'!G18</f>
        <v/>
      </c>
      <c r="C17" s="11">
        <f>'Ряд'!H18</f>
        <v/>
      </c>
      <c r="D17" s="11">
        <f>'Ряд'!E18</f>
        <v/>
      </c>
      <c r="E17" s="6">
        <f>'Ряд'!K18</f>
        <v/>
      </c>
    </row>
    <row r="18">
      <c r="A18" s="6">
        <f>'Ряд'!A19</f>
        <v/>
      </c>
      <c r="B18" s="11">
        <f>'Ряд'!G19</f>
        <v/>
      </c>
      <c r="C18" s="11">
        <f>'Ряд'!H19</f>
        <v/>
      </c>
      <c r="D18" s="11">
        <f>'Ряд'!E19</f>
        <v/>
      </c>
      <c r="E18" s="6">
        <f>'Ряд'!K19</f>
        <v/>
      </c>
    </row>
    <row r="19">
      <c r="A19" s="6">
        <f>'Ряд'!A20</f>
        <v/>
      </c>
      <c r="B19" s="11">
        <f>'Ряд'!G20</f>
        <v/>
      </c>
      <c r="C19" s="11">
        <f>'Ряд'!H20</f>
        <v/>
      </c>
      <c r="D19" s="11">
        <f>'Ряд'!E20</f>
        <v/>
      </c>
      <c r="E19" s="6">
        <f>'Ряд'!K20</f>
        <v/>
      </c>
    </row>
    <row r="20">
      <c r="A20" s="6">
        <f>'Ряд'!A21</f>
        <v/>
      </c>
      <c r="B20" s="11">
        <f>'Ряд'!G21</f>
        <v/>
      </c>
      <c r="C20" s="11">
        <f>'Ряд'!H21</f>
        <v/>
      </c>
      <c r="D20" s="11">
        <f>'Ряд'!E21</f>
        <v/>
      </c>
      <c r="E20" s="6">
        <f>'Ряд'!K21</f>
        <v/>
      </c>
    </row>
    <row r="21">
      <c r="A21" s="6">
        <f>'Ряд'!A22</f>
        <v/>
      </c>
      <c r="B21" s="11">
        <f>'Ряд'!G22</f>
        <v/>
      </c>
      <c r="C21" s="11">
        <f>'Ряд'!H22</f>
        <v/>
      </c>
      <c r="D21" s="11">
        <f>'Ряд'!E22</f>
        <v/>
      </c>
      <c r="E21" s="6">
        <f>'Ряд'!K22</f>
        <v/>
      </c>
    </row>
    <row r="22">
      <c r="A22" s="6">
        <f>'Ряд'!A23</f>
        <v/>
      </c>
      <c r="B22" s="11">
        <f>'Ряд'!G23</f>
        <v/>
      </c>
      <c r="C22" s="11">
        <f>'Ряд'!H23</f>
        <v/>
      </c>
      <c r="D22" s="11">
        <f>'Ряд'!E23</f>
        <v/>
      </c>
      <c r="E22" s="6">
        <f>'Ряд'!K23</f>
        <v/>
      </c>
    </row>
    <row r="23">
      <c r="A23" s="6">
        <f>'Ряд'!A24</f>
        <v/>
      </c>
      <c r="B23" s="11">
        <f>'Ряд'!G24</f>
        <v/>
      </c>
      <c r="C23" s="11">
        <f>'Ряд'!H24</f>
        <v/>
      </c>
      <c r="D23" s="11">
        <f>'Ряд'!E24</f>
        <v/>
      </c>
      <c r="E23" s="6">
        <f>'Ряд'!K24</f>
        <v/>
      </c>
    </row>
    <row r="24">
      <c r="A24" s="6">
        <f>'Ряд'!A25</f>
        <v/>
      </c>
      <c r="B24" s="11">
        <f>'Ряд'!G25</f>
        <v/>
      </c>
      <c r="C24" s="11">
        <f>'Ряд'!H25</f>
        <v/>
      </c>
      <c r="D24" s="11">
        <f>'Ряд'!E25</f>
        <v/>
      </c>
      <c r="E24" s="6">
        <f>'Ряд'!K25</f>
        <v/>
      </c>
    </row>
    <row r="25">
      <c r="A25" s="6">
        <f>'Ряд'!A26</f>
        <v/>
      </c>
      <c r="B25" s="11">
        <f>'Ряд'!G26</f>
        <v/>
      </c>
      <c r="C25" s="11">
        <f>'Ряд'!H26</f>
        <v/>
      </c>
      <c r="D25" s="11">
        <f>'Ряд'!E26</f>
        <v/>
      </c>
      <c r="E25" s="6">
        <f>'Ряд'!K26</f>
        <v/>
      </c>
    </row>
    <row r="26">
      <c r="A26" s="6">
        <f>'Ряд'!A27</f>
        <v/>
      </c>
      <c r="B26" s="11">
        <f>'Ряд'!G27</f>
        <v/>
      </c>
      <c r="C26" s="11">
        <f>'Ряд'!H27</f>
        <v/>
      </c>
      <c r="D26" s="11">
        <f>'Ряд'!E27</f>
        <v/>
      </c>
      <c r="E26" s="6">
        <f>'Ряд'!K27</f>
        <v/>
      </c>
    </row>
    <row r="27">
      <c r="A27" s="6">
        <f>'Ряд'!A28</f>
        <v/>
      </c>
      <c r="B27" s="11">
        <f>'Ряд'!G28</f>
        <v/>
      </c>
      <c r="C27" s="11">
        <f>'Ряд'!H28</f>
        <v/>
      </c>
      <c r="D27" s="11">
        <f>'Ряд'!E28</f>
        <v/>
      </c>
      <c r="E27" s="6">
        <f>'Ряд'!K28</f>
        <v/>
      </c>
    </row>
    <row r="28">
      <c r="A28" s="6">
        <f>'Ряд'!A29</f>
        <v/>
      </c>
      <c r="B28" s="11">
        <f>'Ряд'!G29</f>
        <v/>
      </c>
      <c r="C28" s="11">
        <f>'Ряд'!H29</f>
        <v/>
      </c>
      <c r="D28" s="11">
        <f>'Ряд'!E29</f>
        <v/>
      </c>
      <c r="E28" s="6">
        <f>'Ряд'!K29</f>
        <v/>
      </c>
    </row>
    <row r="29">
      <c r="A29" s="6">
        <f>'Ряд'!A30</f>
        <v/>
      </c>
      <c r="B29" s="11">
        <f>'Ряд'!G30</f>
        <v/>
      </c>
      <c r="C29" s="11">
        <f>'Ряд'!H30</f>
        <v/>
      </c>
      <c r="D29" s="11">
        <f>'Ряд'!E30</f>
        <v/>
      </c>
      <c r="E29" s="6">
        <f>'Ряд'!K30</f>
        <v/>
      </c>
    </row>
    <row r="30">
      <c r="A30" s="6">
        <f>'Ряд'!A31</f>
        <v/>
      </c>
      <c r="B30" s="11">
        <f>'Ряд'!G31</f>
        <v/>
      </c>
      <c r="C30" s="11">
        <f>'Ряд'!H31</f>
        <v/>
      </c>
      <c r="D30" s="11">
        <f>'Ряд'!E31</f>
        <v/>
      </c>
      <c r="E30" s="6">
        <f>'Ряд'!K31</f>
        <v/>
      </c>
    </row>
    <row r="31">
      <c r="A31" s="6">
        <f>'Ряд'!A32</f>
        <v/>
      </c>
      <c r="B31" s="11">
        <f>'Ряд'!G32</f>
        <v/>
      </c>
      <c r="C31" s="11">
        <f>'Ряд'!H32</f>
        <v/>
      </c>
      <c r="D31" s="11">
        <f>'Ряд'!E32</f>
        <v/>
      </c>
      <c r="E31" s="6">
        <f>'Ряд'!K32</f>
        <v/>
      </c>
    </row>
    <row r="32">
      <c r="A32" s="6">
        <f>'Ряд'!A33</f>
        <v/>
      </c>
      <c r="B32" s="11">
        <f>'Ряд'!G33</f>
        <v/>
      </c>
      <c r="C32" s="11">
        <f>'Ряд'!H33</f>
        <v/>
      </c>
      <c r="D32" s="11">
        <f>'Ряд'!E33</f>
        <v/>
      </c>
      <c r="E32" s="6">
        <f>'Ряд'!K33</f>
        <v/>
      </c>
    </row>
    <row r="33">
      <c r="A33" s="6">
        <f>'Ряд'!A34</f>
        <v/>
      </c>
      <c r="B33" s="11">
        <f>'Ряд'!G34</f>
        <v/>
      </c>
      <c r="C33" s="11">
        <f>'Ряд'!H34</f>
        <v/>
      </c>
      <c r="D33" s="11">
        <f>'Ряд'!E34</f>
        <v/>
      </c>
      <c r="E33" s="6">
        <f>'Ряд'!K34</f>
        <v/>
      </c>
    </row>
    <row r="34">
      <c r="A34" s="6">
        <f>'Ряд'!A35</f>
        <v/>
      </c>
      <c r="B34" s="11">
        <f>'Ряд'!G35</f>
        <v/>
      </c>
      <c r="C34" s="11">
        <f>'Ряд'!H35</f>
        <v/>
      </c>
      <c r="D34" s="11">
        <f>'Ряд'!E35</f>
        <v/>
      </c>
      <c r="E34" s="6">
        <f>'Ряд'!K35</f>
        <v/>
      </c>
    </row>
    <row r="35">
      <c r="A35" s="6">
        <f>'Ряд'!A36</f>
        <v/>
      </c>
      <c r="B35" s="11">
        <f>'Ряд'!G36</f>
        <v/>
      </c>
      <c r="C35" s="11">
        <f>'Ряд'!H36</f>
        <v/>
      </c>
      <c r="D35" s="11">
        <f>'Ряд'!E36</f>
        <v/>
      </c>
      <c r="E35" s="6">
        <f>'Ряд'!K36</f>
        <v/>
      </c>
    </row>
    <row r="36">
      <c r="A36" s="6">
        <f>'Ряд'!A37</f>
        <v/>
      </c>
      <c r="B36" s="11">
        <f>'Ряд'!G37</f>
        <v/>
      </c>
      <c r="C36" s="11">
        <f>'Ряд'!H37</f>
        <v/>
      </c>
      <c r="D36" s="11">
        <f>'Ряд'!E37</f>
        <v/>
      </c>
      <c r="E36" s="6">
        <f>'Ряд'!K37</f>
        <v/>
      </c>
    </row>
    <row r="37">
      <c r="A37" s="6">
        <f>'Ряд'!A38</f>
        <v/>
      </c>
      <c r="B37" s="11">
        <f>'Ряд'!G38</f>
        <v/>
      </c>
      <c r="C37" s="11">
        <f>'Ряд'!H38</f>
        <v/>
      </c>
      <c r="D37" s="11">
        <f>'Ряд'!E38</f>
        <v/>
      </c>
      <c r="E37" s="6">
        <f>'Ряд'!K38</f>
        <v/>
      </c>
    </row>
    <row r="38">
      <c r="A38" s="6">
        <f>'Ряд'!A39</f>
        <v/>
      </c>
      <c r="B38" s="11">
        <f>'Ряд'!G39</f>
        <v/>
      </c>
      <c r="C38" s="11">
        <f>'Ряд'!H39</f>
        <v/>
      </c>
      <c r="D38" s="11">
        <f>'Ряд'!E39</f>
        <v/>
      </c>
      <c r="E38" s="6">
        <f>'Ряд'!K39</f>
        <v/>
      </c>
    </row>
    <row r="39">
      <c r="A39" s="6">
        <f>'Ряд'!A40</f>
        <v/>
      </c>
      <c r="B39" s="11">
        <f>'Ряд'!G40</f>
        <v/>
      </c>
      <c r="C39" s="11">
        <f>'Ряд'!H40</f>
        <v/>
      </c>
      <c r="D39" s="11">
        <f>'Ряд'!E40</f>
        <v/>
      </c>
      <c r="E39" s="6">
        <f>'Ряд'!K40</f>
        <v/>
      </c>
    </row>
    <row r="41">
      <c r="A41" s="31" t="inlineStr">
        <is>
          <t>Сработало</t>
        </is>
      </c>
      <c r="B41" s="32">
        <f>COUNTIF(E5:E39,"Займ")+COUNTIF(E5:E39,"СК")+COUNTIF(E5:E39,"оба")</f>
        <v/>
      </c>
      <c r="C41" s="39">
        <f>B41/35*100</f>
        <v/>
      </c>
      <c r="D41" s="40" t="inlineStr">
        <is>
          <t>из 35 приростов, %</t>
        </is>
      </c>
    </row>
    <row r="43" ht="58" customHeight="1">
      <c r="A43" s="38" t="inlineStr">
        <is>
          <t>Строка 01.2026 — та, ради которой триггеры и заводятся: вход сделан капиталом (ΔСК = −7,92 %), а не портфелем, и уровневая зона его не предупреждала в принципе. Зона смотрит на значение коэффициента, триггер — на его движение; это разные инструменты, и один другого не заменяет.</t>
        </is>
      </c>
    </row>
  </sheetData>
  <mergeCells count="2">
    <mergeCell ref="A2:E2"/>
    <mergeCell ref="A43:E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2026-09-14T05:45:18Z</dcterms:created>
  <dcterms:modified xmlns:dcterms="http://purl.org/dc/terms/" xmlns:xsi="http://www.w3.org/2001/XMLSchema-instance" xsi:type="dcterms:W3CDTF">2026-09-14T05:45:18Z</dcterms:modified>
</cp:coreProperties>
</file>