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щищать" sheetId="1" state="visible" r:id="rId1"/>
    <sheet xmlns:r="http://schemas.openxmlformats.org/officeDocument/2006/relationships" name="Ряд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Расчёт" sheetId="4" state="visible" r:id="rId4"/>
    <sheet xmlns:r="http://schemas.openxmlformats.org/officeDocument/2006/relationships" name="Обоснование M(T)" sheetId="5" state="visible" r:id="rId5"/>
    <sheet xmlns:r="http://schemas.openxmlformats.org/officeDocument/2006/relationships" name="Зоны" sheetId="6" state="visible" r:id="rId6"/>
    <sheet xmlns:r="http://schemas.openxmlformats.org/officeDocument/2006/relationships" name="Две сигмы" sheetId="7" state="visible" r:id="rId7"/>
    <sheet xmlns:r="http://schemas.openxmlformats.org/officeDocument/2006/relationships" name="Триггеры" sheetId="8" state="visible" r:id="rId8"/>
  </sheets>
  <definedNames>
    <definedName name="v">'Ряд'!$H$5:$H$40</definedName>
    <definedName name="d">'Ряд'!$J$6:$J$40</definedName>
    <definedName name="p_conf">'Параметры'!$C$5</definedName>
    <definedName name="z_p">'Параметры'!$C$6</definedName>
    <definedName name="k_G26">'Параметры'!$C$7</definedName>
    <definedName name="L_reg">'Параметры'!$C$8</definedName>
    <definedName name="T_cikl">'Параметры'!$C$9</definedName>
    <definedName name="por_sk">'Параметры'!$C$10</definedName>
    <definedName name="por_zaim">'Параметры'!$C$11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0000000"/>
    <numFmt numFmtId="166" formatCode="0.0000"/>
    <numFmt numFmtId="167" formatCode="0.000000"/>
    <numFmt numFmtId="168" formatCode="0.0"/>
    <numFmt numFmtId="169" formatCode="0.000"/>
    <numFmt numFmtId="170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0B0B0B"/>
      <sz val="14"/>
    </font>
    <font>
      <name val="Calibri"/>
      <color rgb="FF6B6A66"/>
      <sz val="9"/>
    </font>
    <font>
      <name val="Calibri"/>
      <b val="1"/>
      <color rgb="FF0B0B0B"/>
      <sz val="10"/>
    </font>
    <font>
      <name val="Calibri"/>
      <color rgb="FF0B0B0B"/>
      <sz val="10"/>
    </font>
    <font>
      <name val="Calibri"/>
      <b val="1"/>
      <color rgb="FF0B0B0B"/>
      <sz val="11"/>
    </font>
    <font>
      <name val="Consolas"/>
      <color rgb="FF6B6A66"/>
      <sz val="9"/>
    </font>
  </fonts>
  <fills count="7">
    <fill>
      <patternFill/>
    </fill>
    <fill>
      <patternFill patternType="gray125"/>
    </fill>
    <fill>
      <patternFill patternType="solid">
        <fgColor rgb="FFEDEBE3"/>
      </patternFill>
    </fill>
    <fill>
      <patternFill patternType="solid">
        <fgColor rgb="FFF6F5F0"/>
      </patternFill>
    </fill>
    <fill>
      <patternFill patternType="solid">
        <fgColor rgb="FFE3F2E1"/>
      </patternFill>
    </fill>
    <fill>
      <patternFill patternType="solid">
        <fgColor rgb="FFFDF2CF"/>
      </patternFill>
    </fill>
    <fill>
      <patternFill patternType="solid">
        <fgColor rgb="FFF8DDDA"/>
      </patternFill>
    </fill>
  </fills>
  <borders count="6">
    <border>
      <left/>
      <right/>
      <top/>
      <bottom/>
      <diagonal/>
    </border>
    <border>
      <left style="thin">
        <color rgb="FFD8D6CC"/>
      </left>
      <right style="thin">
        <color rgb="FFD8D6CC"/>
      </right>
      <top style="thin">
        <color rgb="FFD8D6CC"/>
      </top>
      <bottom style="thin">
        <color rgb="FFD8D6CC"/>
      </bottom>
    </border>
    <border>
      <left/>
      <right/>
      <top style="thin">
        <color rgb="FFD8D6CC"/>
      </top>
      <bottom/>
      <diagonal/>
    </border>
    <border>
      <left/>
      <right style="thin">
        <color rgb="FFD8D6CC"/>
      </right>
      <top style="thin">
        <color rgb="FFD8D6CC"/>
      </top>
      <bottom/>
      <diagonal/>
    </border>
    <border>
      <left/>
      <right/>
      <top style="thin">
        <color rgb="FFD8D6CC"/>
      </top>
      <bottom style="thin">
        <color rgb="FFD8D6CC"/>
      </bottom>
      <diagonal/>
    </border>
    <border>
      <left/>
      <right style="thin">
        <color rgb="FFD8D6CC"/>
      </right>
      <top style="thin">
        <color rgb="FFD8D6CC"/>
      </top>
      <bottom style="thin">
        <color rgb="FFD8D6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67" fontId="4" fillId="0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168" fontId="4" fillId="0" borderId="1" applyAlignment="1" pivotButton="0" quotePrefix="0" xfId="0">
      <alignment vertical="top"/>
    </xf>
    <xf numFmtId="169" fontId="5" fillId="0" borderId="1" applyAlignment="1" pivotButton="0" quotePrefix="0" xfId="0">
      <alignment vertical="top"/>
    </xf>
    <xf numFmtId="169" fontId="4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1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6" fontId="4" fillId="0" borderId="0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/>
    </xf>
    <xf numFmtId="1" fontId="5" fillId="4" borderId="1" applyAlignment="1" pivotButton="0" quotePrefix="0" xfId="0">
      <alignment horizontal="center" vertical="top"/>
    </xf>
    <xf numFmtId="168" fontId="4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/>
    </xf>
    <xf numFmtId="1" fontId="5" fillId="5" borderId="1" applyAlignment="1" pivotButton="0" quotePrefix="0" xfId="0">
      <alignment horizontal="center" vertical="top"/>
    </xf>
    <xf numFmtId="168" fontId="4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/>
    </xf>
    <xf numFmtId="1" fontId="5" fillId="6" borderId="1" applyAlignment="1" pivotButton="0" quotePrefix="0" xfId="0">
      <alignment horizontal="center" vertical="top"/>
    </xf>
    <xf numFmtId="168" fontId="4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" fontId="5" fillId="3" borderId="1" applyAlignment="1" pivotButton="0" quotePrefix="0" xfId="0">
      <alignment horizontal="center" vertical="top"/>
    </xf>
    <xf numFmtId="168" fontId="4" fillId="3" borderId="1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166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70" fontId="4" fillId="0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06" customWidth="1" min="2" max="2"/>
  </cols>
  <sheetData>
    <row r="1">
      <c r="A1" s="1" t="inlineStr">
        <is>
          <t>Расчётный лист по топ-20: как им пользоваться на комитете</t>
        </is>
      </c>
    </row>
    <row r="2" ht="30" customHeight="1">
      <c r="A2" s="2" t="inlineStr">
        <is>
          <t>Редакция 14.09.2026. Собрано из data/top20_monthly_2023_08_2026_07.csv сборщиком build/raschet_list.py — правки вносятся в скрипт, а не в готовый файл. Сверка: python3 raschet_list.py --verify.</t>
        </is>
      </c>
    </row>
    <row r="4" ht="52" customHeight="1">
      <c r="A4" s="3" t="inlineStr">
        <is>
          <t>Что в книге</t>
        </is>
      </c>
      <c r="B4" s="4" t="inlineStr">
        <is>
          <t>«Ряд» — 36 точек и всё, что считается построчно, обе базы капитала рядом. «Параметры» — семь входов, из них вычисляются два. «Расчёт» — каждое опубликованное число живой формулой против напечатанного. «Обоснование M(T)» — четыре проверки допущений формулы буфера. «Зоны» — разметка и где мы сейчас. «Две сигмы» — остаток Р-Д1. «Триггеры» — все 35 приростов.</t>
        </is>
      </c>
    </row>
    <row r="5" ht="52" customHeight="1">
      <c r="A5" s="3" t="inlineStr">
        <is>
          <t>Главное свойство</t>
        </is>
      </c>
      <c r="B5" s="4" t="inlineStr">
        <is>
          <t>В книге нет ни одного вбитого руками результата, кроме одного помеченного (бутстрап). Любое число со слайда выделяется в колонке «Значение», и в строке формул видно, из чего оно получено. Несогласный с параметром меняет его на листе «Параметры», и вся книга пересчитывается при нём.</t>
        </is>
      </c>
    </row>
    <row r="6" ht="52" customHeight="1">
      <c r="A6" s="3" t="inlineStr">
        <is>
          <t>«Откуда 108,63»</t>
        </is>
      </c>
      <c r="B6" s="4" t="inlineStr">
        <is>
          <t>Уровень 95 % задан в регуляторной базе капитала. С 01.01.2026 знаменатель метрики — балансовый капитал (Г26), k = 0,8745 есть отношение баз. 108,63 — тот же уровень в новой базе. Второй, независимый путь: квантиль 90 % ряда плюс запас на три месяца даёт 108,58. Сходимость двух путей на 0,05 пп и есть довод, что уровень не подогнан.</t>
        </is>
      </c>
    </row>
    <row r="7" ht="52" customHeight="1">
      <c r="A7" s="3" t="inlineStr">
        <is>
          <t>«Почему корень из T»</t>
        </is>
      </c>
      <c r="B7" s="4" t="inlineStr">
        <is>
          <t>Складываются дисперсии, а не с.к.о.: сумма T независимых приростов имеет дисперсию T·σ², то есть разброс σ·√T. Держится это ровно на независимости. Лист «Обоснование M(T)», блок 1: автокорреляция −0,08 при пороге 0,34; фактический разброс трёхмесячных изменений 6,40 против модельных 7,04 — модель ЗАВЫШАЕТ, то есть ошибается в безопасную сторону.</t>
        </is>
      </c>
    </row>
    <row r="8" ht="52" customHeight="1">
      <c r="A8" s="3" t="inlineStr">
        <is>
          <t>«Почему нормальное распределение»</t>
        </is>
      </c>
      <c r="B8" s="4" t="inlineStr">
        <is>
          <t>Нужна нормальность не приростов, а их трёхмесячной СУММЫ, к которой буфер и применяется. У приростов асимметрия 0,67, у суммы — 0,04. Жарк–Бера на приростах 2,70 при критических 5,99. И z(0,90) = 1,28 лежит в теле распределения, а не в хвосте: ошибки нормальности бьют на 99 %, не на 90 %. Лист «Обоснование M(T)», блок 2.</t>
        </is>
      </c>
    </row>
    <row r="9" ht="52" customHeight="1">
      <c r="A9" s="3" t="inlineStr">
        <is>
          <t>«А буфер не выдуман»</t>
        </is>
      </c>
      <c r="B9" s="4" t="inlineStr">
        <is>
          <t>Три непараметрических способа дают 9,29, 9,35 и 9,37 против модельных 9,03 — разброс 3,6 % при собственной погрешности σ в ±1,09. И проверка на факте: движение апрель→июль 2026 составило +8,24 пп, то есть 91 % буфера. Буфер не подушка на всякий случай — ряд только что прошёл почти ровно такое движение.</t>
        </is>
      </c>
    </row>
    <row r="10" ht="44" customHeight="1">
      <c r="A10" s="3" t="inlineStr">
        <is>
          <t>«Почему T = 3»</t>
        </is>
      </c>
      <c r="B10" s="4" t="inlineStr">
        <is>
          <t>Честный ответ: длина цикла решения не измерена и в регламенте не закреплена. Это записано как незакрытый пункт, а не спрятано. Поставьте на «Параметрах» T = 2 или T = 4 — уровень двигается примерно на 1,4–1,5 пп за месяц цикла.</t>
        </is>
      </c>
    </row>
    <row r="11" ht="44" customHeight="1">
      <c r="A11" s="3" t="inlineStr">
        <is>
          <t>«Почему 90 %, а не 95 или 99»</t>
        </is>
      </c>
      <c r="B11" s="4" t="inlineStr">
        <is>
          <t>Это цена ложного отбоя, а не расчёт. При 90 % один ложный сигнал из десяти. Выше — жёлтая опускается и лампа горит почти всегда. Параметр p на листе «Параметры» меняется, z пересчитывается сам. Решение комитета, не наше.</t>
        </is>
      </c>
    </row>
    <row r="12" ht="44" customHeight="1">
      <c r="A12" s="3" t="inlineStr">
        <is>
          <t>«Где мы сейчас»</t>
        </is>
      </c>
      <c r="B12" s="4" t="inlineStr">
        <is>
          <t>Лист «Зоны». Текущая точка 101,50 — жёлтая зона. До лимита 7,13 пп = 1,75 σ. T* = 1,87 месяца: столько остаётся до лимита при доверии 90 %. Красная зона за 36 месяцев загоралась один раз, пробоев не было ни разу.</t>
        </is>
      </c>
    </row>
    <row r="13" ht="44" customHeight="1">
      <c r="A13" s="3" t="inlineStr">
        <is>
          <t>«А если ничего не менять»</t>
        </is>
      </c>
      <c r="B13" s="4" t="inlineStr">
        <is>
          <t>Лист «Расчёт», блок 7. При сохранении уровня 95 % жёлтая линия ложится на 85,97, и выше неё оказывается 31 наблюдение из 36. Светофор с постоянно горящей лампой не является системой раннего предупреждения.</t>
        </is>
      </c>
    </row>
    <row r="14" ht="52" customHeight="1">
      <c r="A14" s="3" t="inlineStr">
        <is>
          <t>Четыре слабых места — назвать самому</t>
        </is>
      </c>
      <c r="B14" s="4" t="inlineStr">
        <is>
          <t>1) Ряд обрывается на 01.07.2026: на дату записки факт отстаёт на три месяца. 2) T = 3 не измерено. 3) k не константа — за 30 месяцев вырос с 0,779 до 0,875, и уровень, посчитанный по k одной даты, стареет вместе с ним. 4) П. 26 Стратегии о трёх пределах уровня рисков дословно не разобран, поэтому разметка зон — наше предложение, а не соответствие ВНД.</t>
        </is>
      </c>
    </row>
    <row r="15" ht="44" customHeight="1">
      <c r="A15" s="3" t="inlineStr">
        <is>
          <t>Чего книга не доказывает</t>
        </is>
      </c>
      <c r="B15" s="4" t="inlineStr">
        <is>
          <t>Что формулы верны по существу. Она доказывает ровно одно: числа получены из ряда объявленными формулами, а допущения формулы буфера проверены на этом же ряде и не отвергнуты. Верна ли метрика и тот ли это ряд — из воспроизводимости не следует.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1" customWidth="1" min="12" max="12"/>
    <col width="13" customWidth="1" min="13" max="13"/>
  </cols>
  <sheetData>
    <row r="1">
      <c r="A1" s="1" t="inlineStr">
        <is>
          <t>Ряд топ-20: 36 месячных точек, 01.08.2023 — 01.07.2026</t>
        </is>
      </c>
    </row>
    <row r="2" ht="42" customHeight="1">
      <c r="A2" s="2" t="inlineStr">
        <is>
          <t>Источник: data/top20_monthly_2023_08_2026_07.csv, дамп листа Monthly рабочей книги 08.09.2026 (DECOMPOSITION § 11.7). Колонки A–D — как в выгрузке, E–M — расчёт. С 01.02.2026 регуляторный капитал в выгрузке отсутствует: метрика ведётся только в балансовой базе, поэтому C, E, F и I у последних шести дат пусты. Это не пропуск данных, а следствие смены базы (Г26).</t>
        </is>
      </c>
    </row>
    <row r="4" ht="32" customHeight="1">
      <c r="A4" s="5" t="inlineStr">
        <is>
          <t>Дата</t>
        </is>
      </c>
      <c r="B4" s="5" t="inlineStr">
        <is>
          <t>Займ топ-20, млн ₸</t>
        </is>
      </c>
      <c r="C4" s="5" t="inlineStr">
        <is>
          <t>СК регуляторный, млн ₸</t>
        </is>
      </c>
      <c r="D4" s="5" t="inlineStr">
        <is>
          <t>СК балансовый, млн ₸</t>
        </is>
      </c>
      <c r="E4" s="5" t="inlineStr">
        <is>
          <t>coef_reg (доля)</t>
        </is>
      </c>
      <c r="F4" s="5" t="inlineStr">
        <is>
          <t>v_reg = coef_reg × 100</t>
        </is>
      </c>
      <c r="G4" s="5" t="inlineStr">
        <is>
          <t>coef_new (доля)</t>
        </is>
      </c>
      <c r="H4" s="5" t="inlineStr">
        <is>
          <t>v_new = coef_new × 100</t>
        </is>
      </c>
      <c r="I4" s="5" t="inlineStr">
        <is>
          <t>Разрыв баз: v_new − v_reg</t>
        </is>
      </c>
      <c r="J4" s="5" t="inlineStr">
        <is>
          <t>Δ = v_new(t) − v_new(t−1)</t>
        </is>
      </c>
      <c r="K4" s="5" t="inlineStr">
        <is>
          <t>ΔСК балансовый, %</t>
        </is>
      </c>
      <c r="L4" s="5" t="inlineStr">
        <is>
          <t>ΔЗайм, %</t>
        </is>
      </c>
      <c r="M4" s="5" t="inlineStr">
        <is>
          <t>Триггер</t>
        </is>
      </c>
    </row>
    <row r="5">
      <c r="A5" s="6" t="inlineStr">
        <is>
          <t>2023-08-01</t>
        </is>
      </c>
      <c r="B5" s="7" t="n">
        <v>323730.9</v>
      </c>
      <c r="C5" s="7" t="n">
        <v>413937.118</v>
      </c>
      <c r="D5" s="7" t="n">
        <v>322505.417</v>
      </c>
      <c r="E5" s="8">
        <f>IF(C5="","",B5/C5)</f>
        <v/>
      </c>
      <c r="F5" s="9">
        <f>IF(E5="","",E5*100)</f>
        <v/>
      </c>
      <c r="G5" s="8">
        <f>B5/D5</f>
        <v/>
      </c>
      <c r="H5" s="9">
        <f>G5*100</f>
        <v/>
      </c>
      <c r="I5" s="9">
        <f>IF(F5="","",H5-F5)</f>
        <v/>
      </c>
      <c r="J5" s="10" t="inlineStr">
        <is>
          <t>—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</row>
    <row r="6">
      <c r="A6" s="6" t="inlineStr">
        <is>
          <t>2023-09-01</t>
        </is>
      </c>
      <c r="B6" s="7" t="n">
        <v>323218.4</v>
      </c>
      <c r="C6" s="7" t="n">
        <v>422472.24</v>
      </c>
      <c r="D6" s="7" t="n">
        <v>331426.59</v>
      </c>
      <c r="E6" s="8">
        <f>IF(C6="","",B6/C6)</f>
        <v/>
      </c>
      <c r="F6" s="9">
        <f>IF(E6="","",E6*100)</f>
        <v/>
      </c>
      <c r="G6" s="8">
        <f>B6/D6</f>
        <v/>
      </c>
      <c r="H6" s="9">
        <f>G6*100</f>
        <v/>
      </c>
      <c r="I6" s="9">
        <f>IF(F6="","",H6-F6)</f>
        <v/>
      </c>
      <c r="J6" s="9">
        <f>H6-H5</f>
        <v/>
      </c>
      <c r="K6" s="11">
        <f>(D6-D5)/D5*100</f>
        <v/>
      </c>
      <c r="L6" s="11">
        <f>(B6-B5)/B5*100</f>
        <v/>
      </c>
      <c r="M6" s="12">
        <f>IF(AND(K6&lt;=por_sk,L6&gt;=por_zaim),"оба",IF(K6&lt;=por_sk,"СК",IF(L6&gt;=por_zaim,"Займ","")))</f>
        <v/>
      </c>
    </row>
    <row r="7">
      <c r="A7" s="6" t="inlineStr">
        <is>
          <t>2023-10-01</t>
        </is>
      </c>
      <c r="B7" s="7" t="n">
        <v>327285</v>
      </c>
      <c r="C7" s="7" t="n">
        <v>429717.914</v>
      </c>
      <c r="D7" s="7" t="n">
        <v>339057.933</v>
      </c>
      <c r="E7" s="8">
        <f>IF(C7="","",B7/C7)</f>
        <v/>
      </c>
      <c r="F7" s="9">
        <f>IF(E7="","",E7*100)</f>
        <v/>
      </c>
      <c r="G7" s="8">
        <f>B7/D7</f>
        <v/>
      </c>
      <c r="H7" s="9">
        <f>G7*100</f>
        <v/>
      </c>
      <c r="I7" s="9">
        <f>IF(F7="","",H7-F7)</f>
        <v/>
      </c>
      <c r="J7" s="9">
        <f>H7-H6</f>
        <v/>
      </c>
      <c r="K7" s="11">
        <f>(D7-D6)/D6*100</f>
        <v/>
      </c>
      <c r="L7" s="11">
        <f>(B7-B6)/B6*100</f>
        <v/>
      </c>
      <c r="M7" s="12">
        <f>IF(AND(K7&lt;=por_sk,L7&gt;=por_zaim),"оба",IF(K7&lt;=por_sk,"СК",IF(L7&gt;=por_zaim,"Займ","")))</f>
        <v/>
      </c>
    </row>
    <row r="8">
      <c r="A8" s="6" t="inlineStr">
        <is>
          <t>2023-11-01</t>
        </is>
      </c>
      <c r="B8" s="7" t="n">
        <v>338817.1</v>
      </c>
      <c r="C8" s="7" t="n">
        <v>438451.715</v>
      </c>
      <c r="D8" s="7" t="n">
        <v>348167.431</v>
      </c>
      <c r="E8" s="8">
        <f>IF(C8="","",B8/C8)</f>
        <v/>
      </c>
      <c r="F8" s="9">
        <f>IF(E8="","",E8*100)</f>
        <v/>
      </c>
      <c r="G8" s="8">
        <f>B8/D8</f>
        <v/>
      </c>
      <c r="H8" s="9">
        <f>G8*100</f>
        <v/>
      </c>
      <c r="I8" s="9">
        <f>IF(F8="","",H8-F8)</f>
        <v/>
      </c>
      <c r="J8" s="9">
        <f>H8-H7</f>
        <v/>
      </c>
      <c r="K8" s="11">
        <f>(D8-D7)/D7*100</f>
        <v/>
      </c>
      <c r="L8" s="11">
        <f>(B8-B7)/B7*100</f>
        <v/>
      </c>
      <c r="M8" s="12">
        <f>IF(AND(K8&lt;=por_sk,L8&gt;=por_zaim),"оба",IF(K8&lt;=por_sk,"СК",IF(L8&gt;=por_zaim,"Займ","")))</f>
        <v/>
      </c>
    </row>
    <row r="9">
      <c r="A9" s="6" t="inlineStr">
        <is>
          <t>2023-12-01</t>
        </is>
      </c>
      <c r="B9" s="7" t="n">
        <v>343497.7</v>
      </c>
      <c r="C9" s="7" t="n">
        <v>443261.608</v>
      </c>
      <c r="D9" s="7" t="n">
        <v>353304.973</v>
      </c>
      <c r="E9" s="8">
        <f>IF(C9="","",B9/C9)</f>
        <v/>
      </c>
      <c r="F9" s="9">
        <f>IF(E9="","",E9*100)</f>
        <v/>
      </c>
      <c r="G9" s="8">
        <f>B9/D9</f>
        <v/>
      </c>
      <c r="H9" s="9">
        <f>G9*100</f>
        <v/>
      </c>
      <c r="I9" s="9">
        <f>IF(F9="","",H9-F9)</f>
        <v/>
      </c>
      <c r="J9" s="9">
        <f>H9-H8</f>
        <v/>
      </c>
      <c r="K9" s="11">
        <f>(D9-D8)/D8*100</f>
        <v/>
      </c>
      <c r="L9" s="11">
        <f>(B9-B8)/B8*100</f>
        <v/>
      </c>
      <c r="M9" s="12">
        <f>IF(AND(K9&lt;=por_sk,L9&gt;=por_zaim),"оба",IF(K9&lt;=por_sk,"СК",IF(L9&gt;=por_zaim,"Займ","")))</f>
        <v/>
      </c>
    </row>
    <row r="10">
      <c r="A10" s="6" t="inlineStr">
        <is>
          <t>2024-01-01</t>
        </is>
      </c>
      <c r="B10" s="7" t="n">
        <v>372019.3</v>
      </c>
      <c r="C10" s="7" t="n">
        <v>440898.148</v>
      </c>
      <c r="D10" s="7" t="n">
        <v>351291.897</v>
      </c>
      <c r="E10" s="8">
        <f>IF(C10="","",B10/C10)</f>
        <v/>
      </c>
      <c r="F10" s="9">
        <f>IF(E10="","",E10*100)</f>
        <v/>
      </c>
      <c r="G10" s="8">
        <f>B10/D10</f>
        <v/>
      </c>
      <c r="H10" s="9">
        <f>G10*100</f>
        <v/>
      </c>
      <c r="I10" s="9">
        <f>IF(F10="","",H10-F10)</f>
        <v/>
      </c>
      <c r="J10" s="9">
        <f>H10-H9</f>
        <v/>
      </c>
      <c r="K10" s="11">
        <f>(D10-D9)/D9*100</f>
        <v/>
      </c>
      <c r="L10" s="11">
        <f>(B10-B9)/B9*100</f>
        <v/>
      </c>
      <c r="M10" s="12">
        <f>IF(AND(K10&lt;=por_sk,L10&gt;=por_zaim),"оба",IF(K10&lt;=por_sk,"СК",IF(L10&gt;=por_zaim,"Займ","")))</f>
        <v/>
      </c>
    </row>
    <row r="11">
      <c r="A11" s="6" t="inlineStr">
        <is>
          <t>2024-02-01</t>
        </is>
      </c>
      <c r="B11" s="7" t="n">
        <v>359821.6</v>
      </c>
      <c r="C11" s="7" t="n">
        <v>453740.463</v>
      </c>
      <c r="D11" s="7" t="n">
        <v>364498.163</v>
      </c>
      <c r="E11" s="8">
        <f>IF(C11="","",B11/C11)</f>
        <v/>
      </c>
      <c r="F11" s="9">
        <f>IF(E11="","",E11*100)</f>
        <v/>
      </c>
      <c r="G11" s="8">
        <f>B11/D11</f>
        <v/>
      </c>
      <c r="H11" s="9">
        <f>G11*100</f>
        <v/>
      </c>
      <c r="I11" s="9">
        <f>IF(F11="","",H11-F11)</f>
        <v/>
      </c>
      <c r="J11" s="9">
        <f>H11-H10</f>
        <v/>
      </c>
      <c r="K11" s="11">
        <f>(D11-D10)/D10*100</f>
        <v/>
      </c>
      <c r="L11" s="11">
        <f>(B11-B10)/B10*100</f>
        <v/>
      </c>
      <c r="M11" s="12">
        <f>IF(AND(K11&lt;=por_sk,L11&gt;=por_zaim),"оба",IF(K11&lt;=por_sk,"СК",IF(L11&gt;=por_zaim,"Займ","")))</f>
        <v/>
      </c>
    </row>
    <row r="12">
      <c r="A12" s="6" t="inlineStr">
        <is>
          <t>2024-03-01</t>
        </is>
      </c>
      <c r="B12" s="7" t="n">
        <v>371215.4</v>
      </c>
      <c r="C12" s="7" t="n">
        <v>472963.535</v>
      </c>
      <c r="D12" s="7" t="n">
        <v>384072.879</v>
      </c>
      <c r="E12" s="8">
        <f>IF(C12="","",B12/C12)</f>
        <v/>
      </c>
      <c r="F12" s="9">
        <f>IF(E12="","",E12*100)</f>
        <v/>
      </c>
      <c r="G12" s="8">
        <f>B12/D12</f>
        <v/>
      </c>
      <c r="H12" s="9">
        <f>G12*100</f>
        <v/>
      </c>
      <c r="I12" s="9">
        <f>IF(F12="","",H12-F12)</f>
        <v/>
      </c>
      <c r="J12" s="9">
        <f>H12-H11</f>
        <v/>
      </c>
      <c r="K12" s="11">
        <f>(D12-D11)/D11*100</f>
        <v/>
      </c>
      <c r="L12" s="11">
        <f>(B12-B11)/B11*100</f>
        <v/>
      </c>
      <c r="M12" s="12">
        <f>IF(AND(K12&lt;=por_sk,L12&gt;=por_zaim),"оба",IF(K12&lt;=por_sk,"СК",IF(L12&gt;=por_zaim,"Займ","")))</f>
        <v/>
      </c>
    </row>
    <row r="13">
      <c r="A13" s="6" t="inlineStr">
        <is>
          <t>2024-04-01</t>
        </is>
      </c>
      <c r="B13" s="7" t="n">
        <v>363473</v>
      </c>
      <c r="C13" s="7" t="n">
        <v>484711.53</v>
      </c>
      <c r="D13" s="7" t="n">
        <v>396208.88</v>
      </c>
      <c r="E13" s="8">
        <f>IF(C13="","",B13/C13)</f>
        <v/>
      </c>
      <c r="F13" s="9">
        <f>IF(E13="","",E13*100)</f>
        <v/>
      </c>
      <c r="G13" s="8">
        <f>B13/D13</f>
        <v/>
      </c>
      <c r="H13" s="9">
        <f>G13*100</f>
        <v/>
      </c>
      <c r="I13" s="9">
        <f>IF(F13="","",H13-F13)</f>
        <v/>
      </c>
      <c r="J13" s="9">
        <f>H13-H12</f>
        <v/>
      </c>
      <c r="K13" s="11">
        <f>(D13-D12)/D12*100</f>
        <v/>
      </c>
      <c r="L13" s="11">
        <f>(B13-B12)/B12*100</f>
        <v/>
      </c>
      <c r="M13" s="12">
        <f>IF(AND(K13&lt;=por_sk,L13&gt;=por_zaim),"оба",IF(K13&lt;=por_sk,"СК",IF(L13&gt;=por_zaim,"Займ","")))</f>
        <v/>
      </c>
    </row>
    <row r="14">
      <c r="A14" s="6" t="inlineStr">
        <is>
          <t>2024-05-01</t>
        </is>
      </c>
      <c r="B14" s="7" t="n">
        <v>357665.7</v>
      </c>
      <c r="C14" s="7" t="n">
        <v>489303.468</v>
      </c>
      <c r="D14" s="7" t="n">
        <v>401188.386</v>
      </c>
      <c r="E14" s="8">
        <f>IF(C14="","",B14/C14)</f>
        <v/>
      </c>
      <c r="F14" s="9">
        <f>IF(E14="","",E14*100)</f>
        <v/>
      </c>
      <c r="G14" s="8">
        <f>B14/D14</f>
        <v/>
      </c>
      <c r="H14" s="9">
        <f>G14*100</f>
        <v/>
      </c>
      <c r="I14" s="9">
        <f>IF(F14="","",H14-F14)</f>
        <v/>
      </c>
      <c r="J14" s="9">
        <f>H14-H13</f>
        <v/>
      </c>
      <c r="K14" s="11">
        <f>(D14-D13)/D13*100</f>
        <v/>
      </c>
      <c r="L14" s="11">
        <f>(B14-B13)/B13*100</f>
        <v/>
      </c>
      <c r="M14" s="12">
        <f>IF(AND(K14&lt;=por_sk,L14&gt;=por_zaim),"оба",IF(K14&lt;=por_sk,"СК",IF(L14&gt;=por_zaim,"Займ","")))</f>
        <v/>
      </c>
    </row>
    <row r="15">
      <c r="A15" s="6" t="inlineStr">
        <is>
          <t>2024-06-01</t>
        </is>
      </c>
      <c r="B15" s="7" t="n">
        <v>360756.5</v>
      </c>
      <c r="C15" s="7" t="n">
        <v>491481.953</v>
      </c>
      <c r="D15" s="7" t="n">
        <v>403780.012</v>
      </c>
      <c r="E15" s="8">
        <f>IF(C15="","",B15/C15)</f>
        <v/>
      </c>
      <c r="F15" s="9">
        <f>IF(E15="","",E15*100)</f>
        <v/>
      </c>
      <c r="G15" s="8">
        <f>B15/D15</f>
        <v/>
      </c>
      <c r="H15" s="9">
        <f>G15*100</f>
        <v/>
      </c>
      <c r="I15" s="9">
        <f>IF(F15="","",H15-F15)</f>
        <v/>
      </c>
      <c r="J15" s="9">
        <f>H15-H14</f>
        <v/>
      </c>
      <c r="K15" s="11">
        <f>(D15-D14)/D14*100</f>
        <v/>
      </c>
      <c r="L15" s="11">
        <f>(B15-B14)/B14*100</f>
        <v/>
      </c>
      <c r="M15" s="12">
        <f>IF(AND(K15&lt;=por_sk,L15&gt;=por_zaim),"оба",IF(K15&lt;=por_sk,"СК",IF(L15&gt;=por_zaim,"Займ","")))</f>
        <v/>
      </c>
    </row>
    <row r="16">
      <c r="A16" s="6" t="inlineStr">
        <is>
          <t>2024-07-01</t>
        </is>
      </c>
      <c r="B16" s="7" t="n">
        <v>362413.9</v>
      </c>
      <c r="C16" s="7" t="n">
        <v>492537.194</v>
      </c>
      <c r="D16" s="7" t="n">
        <v>405247.486</v>
      </c>
      <c r="E16" s="8">
        <f>IF(C16="","",B16/C16)</f>
        <v/>
      </c>
      <c r="F16" s="9">
        <f>IF(E16="","",E16*100)</f>
        <v/>
      </c>
      <c r="G16" s="8">
        <f>B16/D16</f>
        <v/>
      </c>
      <c r="H16" s="9">
        <f>G16*100</f>
        <v/>
      </c>
      <c r="I16" s="9">
        <f>IF(F16="","",H16-F16)</f>
        <v/>
      </c>
      <c r="J16" s="9">
        <f>H16-H15</f>
        <v/>
      </c>
      <c r="K16" s="11">
        <f>(D16-D15)/D15*100</f>
        <v/>
      </c>
      <c r="L16" s="11">
        <f>(B16-B15)/B15*100</f>
        <v/>
      </c>
      <c r="M16" s="12">
        <f>IF(AND(K16&lt;=por_sk,L16&gt;=por_zaim),"оба",IF(K16&lt;=por_sk,"СК",IF(L16&gt;=por_zaim,"Займ","")))</f>
        <v/>
      </c>
    </row>
    <row r="17">
      <c r="A17" s="6" t="inlineStr">
        <is>
          <t>2024-08-01</t>
        </is>
      </c>
      <c r="B17" s="7" t="n">
        <v>358163.4</v>
      </c>
      <c r="C17" s="7" t="n">
        <v>504710.465</v>
      </c>
      <c r="D17" s="7" t="n">
        <v>417859.74</v>
      </c>
      <c r="E17" s="8">
        <f>IF(C17="","",B17/C17)</f>
        <v/>
      </c>
      <c r="F17" s="9">
        <f>IF(E17="","",E17*100)</f>
        <v/>
      </c>
      <c r="G17" s="8">
        <f>B17/D17</f>
        <v/>
      </c>
      <c r="H17" s="9">
        <f>G17*100</f>
        <v/>
      </c>
      <c r="I17" s="9">
        <f>IF(F17="","",H17-F17)</f>
        <v/>
      </c>
      <c r="J17" s="9">
        <f>H17-H16</f>
        <v/>
      </c>
      <c r="K17" s="11">
        <f>(D17-D16)/D16*100</f>
        <v/>
      </c>
      <c r="L17" s="11">
        <f>(B17-B16)/B16*100</f>
        <v/>
      </c>
      <c r="M17" s="12">
        <f>IF(AND(K17&lt;=por_sk,L17&gt;=por_zaim),"оба",IF(K17&lt;=por_sk,"СК",IF(L17&gt;=por_zaim,"Займ","")))</f>
        <v/>
      </c>
    </row>
    <row r="18">
      <c r="A18" s="6" t="inlineStr">
        <is>
          <t>2024-09-01</t>
        </is>
      </c>
      <c r="B18" s="7" t="n">
        <v>379875.3</v>
      </c>
      <c r="C18" s="7" t="n">
        <v>507597.081</v>
      </c>
      <c r="D18" s="7" t="n">
        <v>421198.748</v>
      </c>
      <c r="E18" s="8">
        <f>IF(C18="","",B18/C18)</f>
        <v/>
      </c>
      <c r="F18" s="9">
        <f>IF(E18="","",E18*100)</f>
        <v/>
      </c>
      <c r="G18" s="8">
        <f>B18/D18</f>
        <v/>
      </c>
      <c r="H18" s="9">
        <f>G18*100</f>
        <v/>
      </c>
      <c r="I18" s="9">
        <f>IF(F18="","",H18-F18)</f>
        <v/>
      </c>
      <c r="J18" s="9">
        <f>H18-H17</f>
        <v/>
      </c>
      <c r="K18" s="11">
        <f>(D18-D17)/D17*100</f>
        <v/>
      </c>
      <c r="L18" s="11">
        <f>(B18-B17)/B17*100</f>
        <v/>
      </c>
      <c r="M18" s="12">
        <f>IF(AND(K18&lt;=por_sk,L18&gt;=por_zaim),"оба",IF(K18&lt;=por_sk,"СК",IF(L18&gt;=por_zaim,"Займ","")))</f>
        <v/>
      </c>
    </row>
    <row r="19">
      <c r="A19" s="6" t="inlineStr">
        <is>
          <t>2024-10-01</t>
        </is>
      </c>
      <c r="B19" s="7" t="n">
        <v>384443.9</v>
      </c>
      <c r="C19" s="7" t="n">
        <v>510558.266</v>
      </c>
      <c r="D19" s="7" t="n">
        <v>424610.677</v>
      </c>
      <c r="E19" s="8">
        <f>IF(C19="","",B19/C19)</f>
        <v/>
      </c>
      <c r="F19" s="9">
        <f>IF(E19="","",E19*100)</f>
        <v/>
      </c>
      <c r="G19" s="8">
        <f>B19/D19</f>
        <v/>
      </c>
      <c r="H19" s="9">
        <f>G19*100</f>
        <v/>
      </c>
      <c r="I19" s="9">
        <f>IF(F19="","",H19-F19)</f>
        <v/>
      </c>
      <c r="J19" s="9">
        <f>H19-H18</f>
        <v/>
      </c>
      <c r="K19" s="11">
        <f>(D19-D18)/D18*100</f>
        <v/>
      </c>
      <c r="L19" s="11">
        <f>(B19-B18)/B18*100</f>
        <v/>
      </c>
      <c r="M19" s="12">
        <f>IF(AND(K19&lt;=por_sk,L19&gt;=por_zaim),"оба",IF(K19&lt;=por_sk,"СК",IF(L19&gt;=por_zaim,"Займ","")))</f>
        <v/>
      </c>
    </row>
    <row r="20">
      <c r="A20" s="6" t="inlineStr">
        <is>
          <t>2024-11-01</t>
        </is>
      </c>
      <c r="B20" s="7" t="n">
        <v>376972.2</v>
      </c>
      <c r="C20" s="7" t="n">
        <v>525225.334</v>
      </c>
      <c r="D20" s="7" t="n">
        <v>439721.605</v>
      </c>
      <c r="E20" s="8">
        <f>IF(C20="","",B20/C20)</f>
        <v/>
      </c>
      <c r="F20" s="9">
        <f>IF(E20="","",E20*100)</f>
        <v/>
      </c>
      <c r="G20" s="8">
        <f>B20/D20</f>
        <v/>
      </c>
      <c r="H20" s="9">
        <f>G20*100</f>
        <v/>
      </c>
      <c r="I20" s="9">
        <f>IF(F20="","",H20-F20)</f>
        <v/>
      </c>
      <c r="J20" s="9">
        <f>H20-H19</f>
        <v/>
      </c>
      <c r="K20" s="11">
        <f>(D20-D19)/D19*100</f>
        <v/>
      </c>
      <c r="L20" s="11">
        <f>(B20-B19)/B19*100</f>
        <v/>
      </c>
      <c r="M20" s="12">
        <f>IF(AND(K20&lt;=por_sk,L20&gt;=por_zaim),"оба",IF(K20&lt;=por_sk,"СК",IF(L20&gt;=por_zaim,"Займ","")))</f>
        <v/>
      </c>
    </row>
    <row r="21">
      <c r="A21" s="6" t="inlineStr">
        <is>
          <t>2024-12-01</t>
        </is>
      </c>
      <c r="B21" s="7" t="n">
        <v>382966.5</v>
      </c>
      <c r="C21" s="7" t="n">
        <v>529015.162</v>
      </c>
      <c r="D21" s="7" t="n">
        <v>443905.946</v>
      </c>
      <c r="E21" s="8">
        <f>IF(C21="","",B21/C21)</f>
        <v/>
      </c>
      <c r="F21" s="9">
        <f>IF(E21="","",E21*100)</f>
        <v/>
      </c>
      <c r="G21" s="8">
        <f>B21/D21</f>
        <v/>
      </c>
      <c r="H21" s="9">
        <f>G21*100</f>
        <v/>
      </c>
      <c r="I21" s="9">
        <f>IF(F21="","",H21-F21)</f>
        <v/>
      </c>
      <c r="J21" s="9">
        <f>H21-H20</f>
        <v/>
      </c>
      <c r="K21" s="11">
        <f>(D21-D20)/D20*100</f>
        <v/>
      </c>
      <c r="L21" s="11">
        <f>(B21-B20)/B20*100</f>
        <v/>
      </c>
      <c r="M21" s="12">
        <f>IF(AND(K21&lt;=por_sk,L21&gt;=por_zaim),"оба",IF(K21&lt;=por_sk,"СК",IF(L21&gt;=por_zaim,"Займ","")))</f>
        <v/>
      </c>
    </row>
    <row r="22">
      <c r="A22" s="6" t="inlineStr">
        <is>
          <t>2025-01-01</t>
        </is>
      </c>
      <c r="B22" s="7" t="n">
        <v>378199.4</v>
      </c>
      <c r="C22" s="7" t="n">
        <v>545923.954</v>
      </c>
      <c r="D22" s="7" t="n">
        <v>461235.157</v>
      </c>
      <c r="E22" s="8">
        <f>IF(C22="","",B22/C22)</f>
        <v/>
      </c>
      <c r="F22" s="9">
        <f>IF(E22="","",E22*100)</f>
        <v/>
      </c>
      <c r="G22" s="8">
        <f>B22/D22</f>
        <v/>
      </c>
      <c r="H22" s="9">
        <f>G22*100</f>
        <v/>
      </c>
      <c r="I22" s="9">
        <f>IF(F22="","",H22-F22)</f>
        <v/>
      </c>
      <c r="J22" s="9">
        <f>H22-H21</f>
        <v/>
      </c>
      <c r="K22" s="11">
        <f>(D22-D21)/D21*100</f>
        <v/>
      </c>
      <c r="L22" s="11">
        <f>(B22-B21)/B21*100</f>
        <v/>
      </c>
      <c r="M22" s="12">
        <f>IF(AND(K22&lt;=por_sk,L22&gt;=por_zaim),"оба",IF(K22&lt;=por_sk,"СК",IF(L22&gt;=por_zaim,"Займ","")))</f>
        <v/>
      </c>
    </row>
    <row r="23">
      <c r="A23" s="6" t="inlineStr">
        <is>
          <t>2025-02-01</t>
        </is>
      </c>
      <c r="B23" s="7" t="n">
        <v>370820.7</v>
      </c>
      <c r="C23" s="7" t="n">
        <v>547253.772</v>
      </c>
      <c r="D23" s="7" t="n">
        <v>462997.148</v>
      </c>
      <c r="E23" s="8">
        <f>IF(C23="","",B23/C23)</f>
        <v/>
      </c>
      <c r="F23" s="9">
        <f>IF(E23="","",E23*100)</f>
        <v/>
      </c>
      <c r="G23" s="8">
        <f>B23/D23</f>
        <v/>
      </c>
      <c r="H23" s="9">
        <f>G23*100</f>
        <v/>
      </c>
      <c r="I23" s="9">
        <f>IF(F23="","",H23-F23)</f>
        <v/>
      </c>
      <c r="J23" s="9">
        <f>H23-H22</f>
        <v/>
      </c>
      <c r="K23" s="11">
        <f>(D23-D22)/D22*100</f>
        <v/>
      </c>
      <c r="L23" s="11">
        <f>(B23-B22)/B22*100</f>
        <v/>
      </c>
      <c r="M23" s="12">
        <f>IF(AND(K23&lt;=por_sk,L23&gt;=por_zaim),"оба",IF(K23&lt;=por_sk,"СК",IF(L23&gt;=por_zaim,"Займ","")))</f>
        <v/>
      </c>
    </row>
    <row r="24">
      <c r="A24" s="6" t="inlineStr">
        <is>
          <t>2025-03-01</t>
        </is>
      </c>
      <c r="B24" s="7" t="n">
        <v>367097.44</v>
      </c>
      <c r="C24" s="7" t="n">
        <v>550880.598</v>
      </c>
      <c r="D24" s="7" t="n">
        <v>467025.778</v>
      </c>
      <c r="E24" s="8">
        <f>IF(C24="","",B24/C24)</f>
        <v/>
      </c>
      <c r="F24" s="9">
        <f>IF(E24="","",E24*100)</f>
        <v/>
      </c>
      <c r="G24" s="8">
        <f>B24/D24</f>
        <v/>
      </c>
      <c r="H24" s="9">
        <f>G24*100</f>
        <v/>
      </c>
      <c r="I24" s="9">
        <f>IF(F24="","",H24-F24)</f>
        <v/>
      </c>
      <c r="J24" s="9">
        <f>H24-H23</f>
        <v/>
      </c>
      <c r="K24" s="11">
        <f>(D24-D23)/D23*100</f>
        <v/>
      </c>
      <c r="L24" s="11">
        <f>(B24-B23)/B23*100</f>
        <v/>
      </c>
      <c r="M24" s="12">
        <f>IF(AND(K24&lt;=por_sk,L24&gt;=por_zaim),"оба",IF(K24&lt;=por_sk,"СК",IF(L24&gt;=por_zaim,"Займ","")))</f>
        <v/>
      </c>
    </row>
    <row r="25">
      <c r="A25" s="6" t="inlineStr">
        <is>
          <t>2025-04-01</t>
        </is>
      </c>
      <c r="B25" s="7" t="n">
        <v>395318.8</v>
      </c>
      <c r="C25" s="7" t="n">
        <v>535450.627</v>
      </c>
      <c r="D25" s="7" t="n">
        <v>452053.517</v>
      </c>
      <c r="E25" s="8">
        <f>IF(C25="","",B25/C25)</f>
        <v/>
      </c>
      <c r="F25" s="9">
        <f>IF(E25="","",E25*100)</f>
        <v/>
      </c>
      <c r="G25" s="8">
        <f>B25/D25</f>
        <v/>
      </c>
      <c r="H25" s="9">
        <f>G25*100</f>
        <v/>
      </c>
      <c r="I25" s="9">
        <f>IF(F25="","",H25-F25)</f>
        <v/>
      </c>
      <c r="J25" s="9">
        <f>H25-H24</f>
        <v/>
      </c>
      <c r="K25" s="11">
        <f>(D25-D24)/D24*100</f>
        <v/>
      </c>
      <c r="L25" s="11">
        <f>(B25-B24)/B24*100</f>
        <v/>
      </c>
      <c r="M25" s="12">
        <f>IF(AND(K25&lt;=por_sk,L25&gt;=por_zaim),"оба",IF(K25&lt;=por_sk,"СК",IF(L25&gt;=por_zaim,"Займ","")))</f>
        <v/>
      </c>
    </row>
    <row r="26">
      <c r="A26" s="6" t="inlineStr">
        <is>
          <t>2025-05-01</t>
        </is>
      </c>
      <c r="B26" s="7" t="n">
        <v>413164.5</v>
      </c>
      <c r="C26" s="7" t="n">
        <v>539662.3540000001</v>
      </c>
      <c r="D26" s="7" t="n">
        <v>456721.225</v>
      </c>
      <c r="E26" s="8">
        <f>IF(C26="","",B26/C26)</f>
        <v/>
      </c>
      <c r="F26" s="9">
        <f>IF(E26="","",E26*100)</f>
        <v/>
      </c>
      <c r="G26" s="8">
        <f>B26/D26</f>
        <v/>
      </c>
      <c r="H26" s="9">
        <f>G26*100</f>
        <v/>
      </c>
      <c r="I26" s="9">
        <f>IF(F26="","",H26-F26)</f>
        <v/>
      </c>
      <c r="J26" s="9">
        <f>H26-H25</f>
        <v/>
      </c>
      <c r="K26" s="11">
        <f>(D26-D25)/D25*100</f>
        <v/>
      </c>
      <c r="L26" s="11">
        <f>(B26-B25)/B25*100</f>
        <v/>
      </c>
      <c r="M26" s="12">
        <f>IF(AND(K26&lt;=por_sk,L26&gt;=por_zaim),"оба",IF(K26&lt;=por_sk,"СК",IF(L26&gt;=por_zaim,"Займ","")))</f>
        <v/>
      </c>
    </row>
    <row r="27">
      <c r="A27" s="6" t="inlineStr">
        <is>
          <t>2025-06-01</t>
        </is>
      </c>
      <c r="B27" s="7" t="n">
        <v>409495.1</v>
      </c>
      <c r="C27" s="7" t="n">
        <v>544012.9939999999</v>
      </c>
      <c r="D27" s="7" t="n">
        <v>461556.705</v>
      </c>
      <c r="E27" s="8">
        <f>IF(C27="","",B27/C27)</f>
        <v/>
      </c>
      <c r="F27" s="9">
        <f>IF(E27="","",E27*100)</f>
        <v/>
      </c>
      <c r="G27" s="8">
        <f>B27/D27</f>
        <v/>
      </c>
      <c r="H27" s="9">
        <f>G27*100</f>
        <v/>
      </c>
      <c r="I27" s="9">
        <f>IF(F27="","",H27-F27)</f>
        <v/>
      </c>
      <c r="J27" s="9">
        <f>H27-H26</f>
        <v/>
      </c>
      <c r="K27" s="11">
        <f>(D27-D26)/D26*100</f>
        <v/>
      </c>
      <c r="L27" s="11">
        <f>(B27-B26)/B26*100</f>
        <v/>
      </c>
      <c r="M27" s="12">
        <f>IF(AND(K27&lt;=por_sk,L27&gt;=por_zaim),"оба",IF(K27&lt;=por_sk,"СК",IF(L27&gt;=por_zaim,"Займ","")))</f>
        <v/>
      </c>
    </row>
    <row r="28">
      <c r="A28" s="6" t="inlineStr">
        <is>
          <t>2025-07-01</t>
        </is>
      </c>
      <c r="B28" s="7" t="n">
        <v>421189.4</v>
      </c>
      <c r="C28" s="7" t="n">
        <v>548877.325</v>
      </c>
      <c r="D28" s="7" t="n">
        <v>466904.637</v>
      </c>
      <c r="E28" s="8">
        <f>IF(C28="","",B28/C28)</f>
        <v/>
      </c>
      <c r="F28" s="9">
        <f>IF(E28="","",E28*100)</f>
        <v/>
      </c>
      <c r="G28" s="8">
        <f>B28/D28</f>
        <v/>
      </c>
      <c r="H28" s="9">
        <f>G28*100</f>
        <v/>
      </c>
      <c r="I28" s="9">
        <f>IF(F28="","",H28-F28)</f>
        <v/>
      </c>
      <c r="J28" s="9">
        <f>H28-H27</f>
        <v/>
      </c>
      <c r="K28" s="11">
        <f>(D28-D27)/D27*100</f>
        <v/>
      </c>
      <c r="L28" s="11">
        <f>(B28-B27)/B27*100</f>
        <v/>
      </c>
      <c r="M28" s="12">
        <f>IF(AND(K28&lt;=por_sk,L28&gt;=por_zaim),"оба",IF(K28&lt;=por_sk,"СК",IF(L28&gt;=por_zaim,"Займ","")))</f>
        <v/>
      </c>
    </row>
    <row r="29">
      <c r="A29" s="6" t="inlineStr">
        <is>
          <t>2025-08-01</t>
        </is>
      </c>
      <c r="B29" s="7" t="n">
        <v>421697.9</v>
      </c>
      <c r="C29" s="7" t="n">
        <v>541721.687</v>
      </c>
      <c r="D29" s="7" t="n">
        <v>460260.73</v>
      </c>
      <c r="E29" s="8">
        <f>IF(C29="","",B29/C29)</f>
        <v/>
      </c>
      <c r="F29" s="9">
        <f>IF(E29="","",E29*100)</f>
        <v/>
      </c>
      <c r="G29" s="8">
        <f>B29/D29</f>
        <v/>
      </c>
      <c r="H29" s="9">
        <f>G29*100</f>
        <v/>
      </c>
      <c r="I29" s="9">
        <f>IF(F29="","",H29-F29)</f>
        <v/>
      </c>
      <c r="J29" s="9">
        <f>H29-H28</f>
        <v/>
      </c>
      <c r="K29" s="11">
        <f>(D29-D28)/D28*100</f>
        <v/>
      </c>
      <c r="L29" s="11">
        <f>(B29-B28)/B28*100</f>
        <v/>
      </c>
      <c r="M29" s="12">
        <f>IF(AND(K29&lt;=por_sk,L29&gt;=por_zaim),"оба",IF(K29&lt;=por_sk,"СК",IF(L29&gt;=por_zaim,"Займ","")))</f>
        <v/>
      </c>
    </row>
    <row r="30">
      <c r="A30" s="6" t="inlineStr">
        <is>
          <t>2025-09-01</t>
        </is>
      </c>
      <c r="B30" s="7" t="n">
        <v>420361.1</v>
      </c>
      <c r="C30" s="7" t="n">
        <v>547298.225</v>
      </c>
      <c r="D30" s="7" t="n">
        <v>466364.472</v>
      </c>
      <c r="E30" s="8">
        <f>IF(C30="","",B30/C30)</f>
        <v/>
      </c>
      <c r="F30" s="9">
        <f>IF(E30="","",E30*100)</f>
        <v/>
      </c>
      <c r="G30" s="8">
        <f>B30/D30</f>
        <v/>
      </c>
      <c r="H30" s="9">
        <f>G30*100</f>
        <v/>
      </c>
      <c r="I30" s="9">
        <f>IF(F30="","",H30-F30)</f>
        <v/>
      </c>
      <c r="J30" s="9">
        <f>H30-H29</f>
        <v/>
      </c>
      <c r="K30" s="11">
        <f>(D30-D29)/D29*100</f>
        <v/>
      </c>
      <c r="L30" s="11">
        <f>(B30-B29)/B29*100</f>
        <v/>
      </c>
      <c r="M30" s="12">
        <f>IF(AND(K30&lt;=por_sk,L30&gt;=por_zaim),"оба",IF(K30&lt;=por_sk,"СК",IF(L30&gt;=por_zaim,"Займ","")))</f>
        <v/>
      </c>
    </row>
    <row r="31">
      <c r="A31" s="6" t="inlineStr">
        <is>
          <t>2025-10-01</t>
        </is>
      </c>
      <c r="B31" s="7" t="n">
        <v>421816</v>
      </c>
      <c r="C31" s="7" t="n">
        <v>550245.387</v>
      </c>
      <c r="D31" s="7" t="n">
        <v>469835.804</v>
      </c>
      <c r="E31" s="8">
        <f>IF(C31="","",B31/C31)</f>
        <v/>
      </c>
      <c r="F31" s="9">
        <f>IF(E31="","",E31*100)</f>
        <v/>
      </c>
      <c r="G31" s="8">
        <f>B31/D31</f>
        <v/>
      </c>
      <c r="H31" s="9">
        <f>G31*100</f>
        <v/>
      </c>
      <c r="I31" s="9">
        <f>IF(F31="","",H31-F31)</f>
        <v/>
      </c>
      <c r="J31" s="9">
        <f>H31-H30</f>
        <v/>
      </c>
      <c r="K31" s="11">
        <f>(D31-D30)/D30*100</f>
        <v/>
      </c>
      <c r="L31" s="11">
        <f>(B31-B30)/B30*100</f>
        <v/>
      </c>
      <c r="M31" s="12">
        <f>IF(AND(K31&lt;=por_sk,L31&gt;=por_zaim),"оба",IF(K31&lt;=por_sk,"СК",IF(L31&gt;=por_zaim,"Займ","")))</f>
        <v/>
      </c>
    </row>
    <row r="32">
      <c r="A32" s="6" t="inlineStr">
        <is>
          <t>2025-11-01</t>
        </is>
      </c>
      <c r="B32" s="7" t="n">
        <v>403001.7</v>
      </c>
      <c r="C32" s="7" t="n">
        <v>547740.925</v>
      </c>
      <c r="D32" s="7" t="n">
        <v>467852.15</v>
      </c>
      <c r="E32" s="8">
        <f>IF(C32="","",B32/C32)</f>
        <v/>
      </c>
      <c r="F32" s="9">
        <f>IF(E32="","",E32*100)</f>
        <v/>
      </c>
      <c r="G32" s="8">
        <f>B32/D32</f>
        <v/>
      </c>
      <c r="H32" s="9">
        <f>G32*100</f>
        <v/>
      </c>
      <c r="I32" s="9">
        <f>IF(F32="","",H32-F32)</f>
        <v/>
      </c>
      <c r="J32" s="9">
        <f>H32-H31</f>
        <v/>
      </c>
      <c r="K32" s="11">
        <f>(D32-D31)/D31*100</f>
        <v/>
      </c>
      <c r="L32" s="11">
        <f>(B32-B31)/B31*100</f>
        <v/>
      </c>
      <c r="M32" s="12">
        <f>IF(AND(K32&lt;=por_sk,L32&gt;=por_zaim),"оба",IF(K32&lt;=por_sk,"СК",IF(L32&gt;=por_zaim,"Займ","")))</f>
        <v/>
      </c>
    </row>
    <row r="33">
      <c r="A33" s="6" t="inlineStr">
        <is>
          <t>2025-12-01</t>
        </is>
      </c>
      <c r="B33" s="7" t="n">
        <v>411642.9</v>
      </c>
      <c r="C33" s="7" t="n">
        <v>557685.15</v>
      </c>
      <c r="D33" s="7" t="n">
        <v>477796.375</v>
      </c>
      <c r="E33" s="8">
        <f>IF(C33="","",B33/C33)</f>
        <v/>
      </c>
      <c r="F33" s="9">
        <f>IF(E33="","",E33*100)</f>
        <v/>
      </c>
      <c r="G33" s="8">
        <f>B33/D33</f>
        <v/>
      </c>
      <c r="H33" s="9">
        <f>G33*100</f>
        <v/>
      </c>
      <c r="I33" s="9">
        <f>IF(F33="","",H33-F33)</f>
        <v/>
      </c>
      <c r="J33" s="9">
        <f>H33-H32</f>
        <v/>
      </c>
      <c r="K33" s="11">
        <f>(D33-D32)/D32*100</f>
        <v/>
      </c>
      <c r="L33" s="11">
        <f>(B33-B32)/B32*100</f>
        <v/>
      </c>
      <c r="M33" s="12">
        <f>IF(AND(K33&lt;=por_sk,L33&gt;=por_zaim),"оба",IF(K33&lt;=por_sk,"СК",IF(L33&gt;=por_zaim,"Займ","")))</f>
        <v/>
      </c>
    </row>
    <row r="34">
      <c r="A34" s="6" t="inlineStr">
        <is>
          <t>2026-01-01</t>
        </is>
      </c>
      <c r="B34" s="7" t="n">
        <v>421717.7</v>
      </c>
      <c r="C34" s="7" t="n">
        <v>503086.114</v>
      </c>
      <c r="D34" s="7" t="n">
        <v>439961.267</v>
      </c>
      <c r="E34" s="8">
        <f>IF(C34="","",B34/C34)</f>
        <v/>
      </c>
      <c r="F34" s="9">
        <f>IF(E34="","",E34*100)</f>
        <v/>
      </c>
      <c r="G34" s="8">
        <f>B34/D34</f>
        <v/>
      </c>
      <c r="H34" s="9">
        <f>G34*100</f>
        <v/>
      </c>
      <c r="I34" s="9">
        <f>IF(F34="","",H34-F34)</f>
        <v/>
      </c>
      <c r="J34" s="9">
        <f>H34-H33</f>
        <v/>
      </c>
      <c r="K34" s="11">
        <f>(D34-D33)/D33*100</f>
        <v/>
      </c>
      <c r="L34" s="11">
        <f>(B34-B33)/B33*100</f>
        <v/>
      </c>
      <c r="M34" s="12">
        <f>IF(AND(K34&lt;=por_sk,L34&gt;=por_zaim),"оба",IF(K34&lt;=por_sk,"СК",IF(L34&gt;=por_zaim,"Займ","")))</f>
        <v/>
      </c>
    </row>
    <row r="35">
      <c r="A35" s="6" t="inlineStr">
        <is>
          <t>2026-02-01</t>
        </is>
      </c>
      <c r="B35" s="7" t="n">
        <v>393670.5</v>
      </c>
      <c r="C35" s="7" t="n"/>
      <c r="D35" s="7" t="n">
        <v>440063.853</v>
      </c>
      <c r="E35" s="8">
        <f>IF(C35="","",B35/C35)</f>
        <v/>
      </c>
      <c r="F35" s="9">
        <f>IF(E35="","",E35*100)</f>
        <v/>
      </c>
      <c r="G35" s="8">
        <f>B35/D35</f>
        <v/>
      </c>
      <c r="H35" s="9">
        <f>G35*100</f>
        <v/>
      </c>
      <c r="I35" s="9">
        <f>IF(F35="","",H35-F35)</f>
        <v/>
      </c>
      <c r="J35" s="9">
        <f>H35-H34</f>
        <v/>
      </c>
      <c r="K35" s="11">
        <f>(D35-D34)/D34*100</f>
        <v/>
      </c>
      <c r="L35" s="11">
        <f>(B35-B34)/B34*100</f>
        <v/>
      </c>
      <c r="M35" s="12">
        <f>IF(AND(K35&lt;=por_sk,L35&gt;=por_zaim),"оба",IF(K35&lt;=por_sk,"СК",IF(L35&gt;=por_zaim,"Займ","")))</f>
        <v/>
      </c>
    </row>
    <row r="36">
      <c r="A36" s="6" t="inlineStr">
        <is>
          <t>2026-03-01</t>
        </is>
      </c>
      <c r="B36" s="7" t="n">
        <v>395281.7</v>
      </c>
      <c r="C36" s="7" t="n"/>
      <c r="D36" s="7" t="n">
        <v>449623.796</v>
      </c>
      <c r="E36" s="8">
        <f>IF(C36="","",B36/C36)</f>
        <v/>
      </c>
      <c r="F36" s="9">
        <f>IF(E36="","",E36*100)</f>
        <v/>
      </c>
      <c r="G36" s="8">
        <f>B36/D36</f>
        <v/>
      </c>
      <c r="H36" s="9">
        <f>G36*100</f>
        <v/>
      </c>
      <c r="I36" s="9">
        <f>IF(F36="","",H36-F36)</f>
        <v/>
      </c>
      <c r="J36" s="9">
        <f>H36-H35</f>
        <v/>
      </c>
      <c r="K36" s="11">
        <f>(D36-D35)/D35*100</f>
        <v/>
      </c>
      <c r="L36" s="11">
        <f>(B36-B35)/B35*100</f>
        <v/>
      </c>
      <c r="M36" s="12">
        <f>IF(AND(K36&lt;=por_sk,L36&gt;=por_zaim),"оба",IF(K36&lt;=por_sk,"СК",IF(L36&gt;=por_zaim,"Займ","")))</f>
        <v/>
      </c>
    </row>
    <row r="37">
      <c r="A37" s="6" t="inlineStr">
        <is>
          <t>2026-04-01</t>
        </is>
      </c>
      <c r="B37" s="7" t="n">
        <v>416607.1</v>
      </c>
      <c r="C37" s="7" t="n"/>
      <c r="D37" s="7" t="n">
        <v>446679.827</v>
      </c>
      <c r="E37" s="8">
        <f>IF(C37="","",B37/C37)</f>
        <v/>
      </c>
      <c r="F37" s="9">
        <f>IF(E37="","",E37*100)</f>
        <v/>
      </c>
      <c r="G37" s="8">
        <f>B37/D37</f>
        <v/>
      </c>
      <c r="H37" s="9">
        <f>G37*100</f>
        <v/>
      </c>
      <c r="I37" s="9">
        <f>IF(F37="","",H37-F37)</f>
        <v/>
      </c>
      <c r="J37" s="9">
        <f>H37-H36</f>
        <v/>
      </c>
      <c r="K37" s="11">
        <f>(D37-D36)/D36*100</f>
        <v/>
      </c>
      <c r="L37" s="11">
        <f>(B37-B36)/B36*100</f>
        <v/>
      </c>
      <c r="M37" s="12">
        <f>IF(AND(K37&lt;=por_sk,L37&gt;=por_zaim),"оба",IF(K37&lt;=por_sk,"СК",IF(L37&gt;=por_zaim,"Займ","")))</f>
        <v/>
      </c>
    </row>
    <row r="38">
      <c r="A38" s="6" t="inlineStr">
        <is>
          <t>2026-05-01</t>
        </is>
      </c>
      <c r="B38" s="7" t="n">
        <v>439754.5</v>
      </c>
      <c r="C38" s="7" t="n"/>
      <c r="D38" s="7" t="n">
        <v>446857.154</v>
      </c>
      <c r="E38" s="8">
        <f>IF(C38="","",B38/C38)</f>
        <v/>
      </c>
      <c r="F38" s="9">
        <f>IF(E38="","",E38*100)</f>
        <v/>
      </c>
      <c r="G38" s="8">
        <f>B38/D38</f>
        <v/>
      </c>
      <c r="H38" s="9">
        <f>G38*100</f>
        <v/>
      </c>
      <c r="I38" s="9">
        <f>IF(F38="","",H38-F38)</f>
        <v/>
      </c>
      <c r="J38" s="9">
        <f>H38-H37</f>
        <v/>
      </c>
      <c r="K38" s="11">
        <f>(D38-D37)/D37*100</f>
        <v/>
      </c>
      <c r="L38" s="11">
        <f>(B38-B37)/B37*100</f>
        <v/>
      </c>
      <c r="M38" s="12">
        <f>IF(AND(K38&lt;=por_sk,L38&gt;=por_zaim),"оба",IF(K38&lt;=por_sk,"СК",IF(L38&gt;=por_zaim,"Займ","")))</f>
        <v/>
      </c>
    </row>
    <row r="39">
      <c r="A39" s="6" t="inlineStr">
        <is>
          <t>2026-06-01</t>
        </is>
      </c>
      <c r="B39" s="7" t="n">
        <v>444048.8</v>
      </c>
      <c r="C39" s="7" t="n"/>
      <c r="D39" s="7" t="n">
        <v>440316.783</v>
      </c>
      <c r="E39" s="8">
        <f>IF(C39="","",B39/C39)</f>
        <v/>
      </c>
      <c r="F39" s="9">
        <f>IF(E39="","",E39*100)</f>
        <v/>
      </c>
      <c r="G39" s="8">
        <f>B39/D39</f>
        <v/>
      </c>
      <c r="H39" s="9">
        <f>G39*100</f>
        <v/>
      </c>
      <c r="I39" s="9">
        <f>IF(F39="","",H39-F39)</f>
        <v/>
      </c>
      <c r="J39" s="9">
        <f>H39-H38</f>
        <v/>
      </c>
      <c r="K39" s="11">
        <f>(D39-D38)/D38*100</f>
        <v/>
      </c>
      <c r="L39" s="11">
        <f>(B39-B38)/B38*100</f>
        <v/>
      </c>
      <c r="M39" s="12">
        <f>IF(AND(K39&lt;=por_sk,L39&gt;=por_zaim),"оба",IF(K39&lt;=por_sk,"СК",IF(L39&gt;=por_zaim,"Займ","")))</f>
        <v/>
      </c>
    </row>
    <row r="40">
      <c r="A40" s="6" t="inlineStr">
        <is>
          <t>2026-07-01</t>
        </is>
      </c>
      <c r="B40" s="7" t="n">
        <v>448999.7</v>
      </c>
      <c r="C40" s="7" t="n"/>
      <c r="D40" s="7" t="n">
        <v>442346.331</v>
      </c>
      <c r="E40" s="8">
        <f>IF(C40="","",B40/C40)</f>
        <v/>
      </c>
      <c r="F40" s="9">
        <f>IF(E40="","",E40*100)</f>
        <v/>
      </c>
      <c r="G40" s="8">
        <f>B40/D40</f>
        <v/>
      </c>
      <c r="H40" s="9">
        <f>G40*100</f>
        <v/>
      </c>
      <c r="I40" s="9">
        <f>IF(F40="","",H40-F40)</f>
        <v/>
      </c>
      <c r="J40" s="9">
        <f>H40-H39</f>
        <v/>
      </c>
      <c r="K40" s="11">
        <f>(D40-D39)/D39*100</f>
        <v/>
      </c>
      <c r="L40" s="11">
        <f>(B40-B39)/B39*100</f>
        <v/>
      </c>
      <c r="M40" s="12">
        <f>IF(AND(K40&lt;=por_sk,L40&gt;=por_zaim),"оба",IF(K40&lt;=por_sk,"СК",IF(L40&gt;=por_zaim,"Займ","")))</f>
        <v/>
      </c>
    </row>
    <row r="42" ht="44" customHeight="1">
      <c r="A42" s="2" t="inlineStr">
        <is>
          <t>Колонка I — разрыв двух баз на одну дату, а не движение во времени. Через неё видно, что k не постоянен: разрыв сузился с 22,2 пп в 08.2023 до 12,0 пп в 01.2026. Уровень L = L_рег / k, посчитанный по k одной даты, стареет вместе с k — открытый вопрос к запросу данных, не свойство расчёта.</t>
        </is>
      </c>
    </row>
  </sheetData>
  <mergeCells count="2">
    <mergeCell ref="A2:M2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6" customWidth="1" min="4" max="4"/>
    <col width="62" customWidth="1" min="5" max="5"/>
  </cols>
  <sheetData>
    <row r="1">
      <c r="A1" s="1" t="inlineStr">
        <is>
          <t>Параметры расчёта</t>
        </is>
      </c>
    </row>
    <row r="2" ht="16" customHeight="1">
      <c r="A2" s="2" t="inlineStr">
        <is>
          <t>Всё, что не выводится из ряда. Меняется здесь — пересчитывается везде.</t>
        </is>
      </c>
    </row>
    <row r="4">
      <c r="A4" s="13" t="inlineStr">
        <is>
          <t>Параметр</t>
        </is>
      </c>
      <c r="B4" s="13" t="inlineStr">
        <is>
          <t>Обозначение</t>
        </is>
      </c>
      <c r="C4" s="13" t="inlineStr">
        <is>
          <t>Значение</t>
        </is>
      </c>
      <c r="D4" s="13" t="inlineStr">
        <is>
          <t>Формула</t>
        </is>
      </c>
      <c r="E4" s="13" t="inlineStr">
        <is>
          <t>Откуда</t>
        </is>
      </c>
    </row>
    <row r="5" ht="34" customHeight="1">
      <c r="A5" s="4" t="inlineStr">
        <is>
          <t>Доверие для буфера</t>
        </is>
      </c>
      <c r="B5" s="6" t="inlineStr">
        <is>
          <t>p</t>
        </is>
      </c>
      <c r="C5" s="14" t="n">
        <v>0.9</v>
      </c>
      <c r="D5" s="15" t="inlineStr">
        <is>
          <t>ввод</t>
        </is>
      </c>
      <c r="E5" s="16" t="inlineStr">
        <is>
          <t>Доля T-месячных движений, которые буфер обязан накрыть. 0,90 означает один ложный отбой из десяти. Это РЕШЕНИЕ комитета о цене ложного сигнала, а не расчётная величина: выше p — жёлтая ниже, лампа горит чаще</t>
        </is>
      </c>
    </row>
    <row r="6" ht="34" customHeight="1">
      <c r="A6" s="4" t="inlineStr">
        <is>
          <t>Квантиль нормального</t>
        </is>
      </c>
      <c r="B6" s="6" t="inlineStr">
        <is>
          <t>z(p)</t>
        </is>
      </c>
      <c r="C6" s="17">
        <f>NORMSINV(C5)</f>
        <v/>
      </c>
      <c r="D6" s="15" t="inlineStr">
        <is>
          <t>NORMSINV(p)</t>
        </is>
      </c>
      <c r="E6" s="16" t="inlineStr">
        <is>
          <t>Вычисляется из p, не вбивается. По-русски функция называется НОРМСТОБР</t>
        </is>
      </c>
    </row>
    <row r="7" ht="34" customHeight="1">
      <c r="A7" s="4" t="inlineStr">
        <is>
          <t>Отношение баз капитала</t>
        </is>
      </c>
      <c r="B7" s="6" t="inlineStr">
        <is>
          <t>k (Г26)</t>
        </is>
      </c>
      <c r="C7" s="18">
        <f>Ряд!D34/Ряд!C34</f>
        <v/>
      </c>
      <c r="D7" s="15" t="inlineStr">
        <is>
          <t>Ряд!D34/Ряд!C34</t>
        </is>
      </c>
      <c r="E7" s="16" t="inlineStr">
        <is>
          <t>СК_балансовый / СК_регуляторный на 01.01.2026 — последняя дата, где есть обе базы. Находка Г26: с 01.01.2026 знаменатель метрики сменил базу, уровень при этом не пересматривался. ВНИМАНИЕ: k не константа, см. колонку I листа «Ряд»</t>
        </is>
      </c>
    </row>
    <row r="8" ht="34" customHeight="1">
      <c r="A8" s="4" t="inlineStr">
        <is>
          <t>Уровень в регуляторной базе</t>
        </is>
      </c>
      <c r="B8" s="6" t="inlineStr">
        <is>
          <t>L_рег</t>
        </is>
      </c>
      <c r="C8" s="14" t="n">
        <v>95</v>
      </c>
      <c r="D8" s="15" t="inlineStr">
        <is>
          <t>ввод</t>
        </is>
      </c>
      <c r="E8" s="16" t="inlineStr">
        <is>
          <t>Действующий уровень риск-аппетита по топ-20. Приложение № 3 к Политике (VND-02). История уровня: 250 % → 95 %, см. data/top20_limit_history.csv</t>
        </is>
      </c>
    </row>
    <row r="9" ht="34" customHeight="1">
      <c r="A9" s="4" t="inlineStr">
        <is>
          <t>Длина цикла реагирования, мес.</t>
        </is>
      </c>
      <c r="B9" s="6" t="inlineStr">
        <is>
          <t>T</t>
        </is>
      </c>
      <c r="C9" s="19" t="n">
        <v>3</v>
      </c>
      <c r="D9" s="15" t="inlineStr">
        <is>
          <t>ввод</t>
        </is>
      </c>
      <c r="E9" s="16" t="inlineStr">
        <is>
          <t>ДОПУЩЕНИЕ, не измеренная величина. Пока длина цикла не закреплена в регламенте, метод H держится на ней со слов — DISCLOSURE § 6</t>
        </is>
      </c>
    </row>
    <row r="10" ht="34" customHeight="1">
      <c r="A10" s="4" t="inlineStr">
        <is>
          <t>Порог триггера по капиталу, %</t>
        </is>
      </c>
      <c r="B10" s="6" t="inlineStr">
        <is>
          <t>порог ΔСК</t>
        </is>
      </c>
      <c r="C10" s="20" t="n">
        <v>-3</v>
      </c>
      <c r="D10" s="15" t="inlineStr">
        <is>
          <t>ввод</t>
        </is>
      </c>
      <c r="E10" s="16" t="inlineStr">
        <is>
          <t>Месячное падение СК, при котором наблюдение ускоряется независимо от зоны</t>
        </is>
      </c>
    </row>
    <row r="11" ht="34" customHeight="1">
      <c r="A11" s="4" t="inlineStr">
        <is>
          <t>Порог триггера по портфелю, %</t>
        </is>
      </c>
      <c r="B11" s="6" t="inlineStr">
        <is>
          <t>порог ΔЗайм</t>
        </is>
      </c>
      <c r="C11" s="20" t="n">
        <v>5</v>
      </c>
      <c r="D11" s="15" t="inlineStr">
        <is>
          <t>ввод</t>
        </is>
      </c>
      <c r="E11" s="16" t="inlineStr">
        <is>
          <t>Месячный рост задолженности топ-20, при котором наблюдение ускоряется</t>
        </is>
      </c>
    </row>
    <row r="13" ht="58" customHeight="1">
      <c r="A13" s="21" t="inlineStr">
        <is>
          <t>Из семи параметров вычисляются два: z из p и k из ряда. Остальные пять — чьи-то решения, и у каждого должен быть автор. У L_рег он есть (Приложение № 3), у T и двух порогов — нет. T = 3 единственный без внешнего источника: поставьте другое число в C9 — вся книга пересчитается, и станет видно, что требуемый уровень меняется на 1,4–1,5 пп за каждый месяц цикла.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38" customWidth="1" min="3" max="3"/>
    <col width="13" customWidth="1" min="4" max="4"/>
    <col width="13" customWidth="1" min="5" max="5"/>
    <col width="12" customWidth="1" min="6" max="6"/>
    <col width="10" customWidth="1" min="7" max="7"/>
    <col width="22" customWidth="1" min="8" max="8"/>
  </cols>
  <sheetData>
    <row r="1">
      <c r="A1" s="1" t="inlineStr">
        <is>
          <t>Расчётный лист: формула, вход, результат</t>
        </is>
      </c>
    </row>
    <row r="2" ht="30" customHeight="1">
      <c r="A2" s="2" t="inlineStr">
        <is>
          <t>Колонка D считается формулой из листов «Ряд» и «Параметры». Колонка E — то, что напечатано в DECOMPOSITION § 11.10 и DISCLOSURE § 2. Колонка G должна быть «да» во всех строках: иначе опубликованное число разошлось с расчётом.</t>
        </is>
      </c>
    </row>
    <row r="4" ht="30" customHeight="1">
      <c r="A4" s="5" t="inlineStr">
        <is>
          <t>Показатель</t>
        </is>
      </c>
      <c r="B4" s="5" t="inlineStr">
        <is>
          <t>Формула словами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Опубликовано</t>
        </is>
      </c>
      <c r="F4" s="5" t="inlineStr">
        <is>
          <t>Расхождение</t>
        </is>
      </c>
      <c r="G4" s="5" t="inlineStr">
        <is>
          <t>Сходится</t>
        </is>
      </c>
      <c r="H4" s="5" t="inlineStr">
        <is>
          <t>Где напечатано</t>
        </is>
      </c>
    </row>
    <row r="5">
      <c r="A5" s="22" t="inlineStr">
        <is>
          <t>1. База: что даёт сам ряд</t>
        </is>
      </c>
      <c r="B5" s="23" t="n"/>
      <c r="C5" s="23" t="n"/>
      <c r="D5" s="23" t="n"/>
      <c r="E5" s="23" t="n"/>
      <c r="F5" s="23" t="n"/>
      <c r="G5" s="23" t="n"/>
      <c r="H5" s="23" t="n"/>
    </row>
    <row r="6" ht="30" customHeight="1">
      <c r="A6" s="4" t="inlineStr">
        <is>
          <t>σ_Δ — с.к.о. месячных приростов</t>
        </is>
      </c>
      <c r="B6" s="4" t="inlineStr">
        <is>
          <t>выборочное с.к.о. (n−1) по всем 35 приростам</t>
        </is>
      </c>
      <c r="C6" s="15" t="inlineStr">
        <is>
          <t>STDEV(d)</t>
        </is>
      </c>
      <c r="D6" s="24">
        <f>STDEV(d)</f>
        <v/>
      </c>
      <c r="E6" s="9" t="n">
        <v>4.0667</v>
      </c>
      <c r="F6" s="25">
        <f>D6-E6</f>
        <v/>
      </c>
      <c r="G6" s="12">
        <f>IF(ABS(F6)&lt;=0.0000500000,"да","НЕТ")</f>
        <v/>
      </c>
      <c r="H6" s="16" t="inlineStr">
        <is>
          <t>DISCLOSURE § 2.1</t>
        </is>
      </c>
    </row>
    <row r="7" ht="30" customHeight="1">
      <c r="A7" s="4" t="inlineStr">
        <is>
          <t>σ уровней (метод М1)</t>
        </is>
      </c>
      <c r="B7" s="4" t="inlineStr">
        <is>
          <t>выборочное с.к.о. самих значений ряда, не приростов</t>
        </is>
      </c>
      <c r="C7" s="15" t="inlineStr">
        <is>
          <t>STDEV(v)</t>
        </is>
      </c>
      <c r="D7" s="24">
        <f>STDEV(v)</f>
        <v/>
      </c>
      <c r="E7" s="9" t="n">
        <v>6.2201</v>
      </c>
      <c r="F7" s="25">
        <f>D7-E7</f>
        <v/>
      </c>
      <c r="G7" s="12">
        <f>IF(ABS(F7)&lt;=0.0000500000,"да","НЕТ")</f>
        <v/>
      </c>
      <c r="H7" s="16" t="inlineStr">
        <is>
          <t>DISCLOSURE Р-Д1</t>
        </is>
      </c>
    </row>
    <row r="8" ht="30" customHeight="1">
      <c r="A8" s="4" t="inlineStr">
        <is>
          <t>Текущая точка, 01.07.2026</t>
        </is>
      </c>
      <c r="B8" s="4" t="inlineStr">
        <is>
          <t>последнее значение ряда</t>
        </is>
      </c>
      <c r="C8" s="15" t="inlineStr">
        <is>
          <t>Ряд!H40</t>
        </is>
      </c>
      <c r="D8" s="24">
        <f>Ряд!H40</f>
        <v/>
      </c>
      <c r="E8" s="9" t="n">
        <v>101.5041</v>
      </c>
      <c r="F8" s="25">
        <f>D8-E8</f>
        <v/>
      </c>
      <c r="G8" s="12">
        <f>IF(ABS(F8)&lt;=0.0000500000,"да","НЕТ")</f>
        <v/>
      </c>
      <c r="H8" s="16" t="inlineStr">
        <is>
          <t>DISCLOSURE § 2.1</t>
        </is>
      </c>
    </row>
    <row r="9" ht="30" customHeight="1">
      <c r="A9" s="4" t="inlineStr">
        <is>
          <t>Максимум ряда, 01.2024</t>
        </is>
      </c>
      <c r="B9" s="4" t="inlineStr">
        <is>
          <t>наибольшее значение ряда</t>
        </is>
      </c>
      <c r="C9" s="15" t="inlineStr">
        <is>
          <t>MAX(v)</t>
        </is>
      </c>
      <c r="D9" s="24">
        <f>MAX(v)</f>
        <v/>
      </c>
      <c r="E9" s="9" t="n">
        <v>105.9003</v>
      </c>
      <c r="F9" s="25">
        <f>D9-E9</f>
        <v/>
      </c>
      <c r="G9" s="12">
        <f>IF(ABS(F9)&lt;=0.0000500000,"да","НЕТ")</f>
        <v/>
      </c>
      <c r="H9" s="16" t="inlineStr">
        <is>
          <t>DISCLOSURE § 2.1</t>
        </is>
      </c>
    </row>
    <row r="10" ht="30" customHeight="1">
      <c r="A10" s="4" t="inlineStr">
        <is>
          <t>Число точек</t>
        </is>
      </c>
      <c r="B10" s="4" t="inlineStr">
        <is>
          <t>сколько наблюдений в ряде</t>
        </is>
      </c>
      <c r="C10" s="15" t="inlineStr">
        <is>
          <t>COUNT(v)</t>
        </is>
      </c>
      <c r="D10" s="19">
        <f>COUNT(v)</f>
        <v/>
      </c>
      <c r="E10" s="26" t="n">
        <v>36</v>
      </c>
      <c r="F10" s="25">
        <f>D10-E10</f>
        <v/>
      </c>
      <c r="G10" s="12">
        <f>IF(ABS(F10)&lt;=0.5000000000,"да","НЕТ")</f>
        <v/>
      </c>
      <c r="H10" s="16" t="inlineStr">
        <is>
          <t>DISCLOSURE § 1</t>
        </is>
      </c>
    </row>
    <row r="11">
      <c r="A11" s="22" t="inlineStr">
        <is>
          <t>2. Уровень</t>
        </is>
      </c>
      <c r="B11" s="23" t="n"/>
      <c r="C11" s="23" t="n"/>
      <c r="D11" s="23" t="n"/>
      <c r="E11" s="23" t="n"/>
      <c r="F11" s="23" t="n"/>
      <c r="G11" s="23" t="n"/>
      <c r="H11" s="23" t="n"/>
    </row>
    <row r="12" ht="30" customHeight="1">
      <c r="A12" s="4" t="inlineStr">
        <is>
          <t>L — уровень в балансовой базе</t>
        </is>
      </c>
      <c r="B12" s="4" t="inlineStr">
        <is>
          <t>действующий уровень 95 %, пересчитанный под балансовый капитал: L_рег / k</t>
        </is>
      </c>
      <c r="C12" s="15" t="inlineStr">
        <is>
          <t>L_reg/k_G26</t>
        </is>
      </c>
      <c r="D12" s="24">
        <f>L_reg/k_G26</f>
        <v/>
      </c>
      <c r="E12" s="9" t="n">
        <v>108.6304</v>
      </c>
      <c r="F12" s="25">
        <f>D12-E12</f>
        <v/>
      </c>
      <c r="G12" s="12">
        <f>IF(ABS(F12)&lt;=0.0000500000,"да","НЕТ")</f>
        <v/>
      </c>
      <c r="H12" s="16" t="inlineStr">
        <is>
          <t>DISCLOSURE § 2.2</t>
        </is>
      </c>
    </row>
    <row r="13" ht="30" customHeight="1">
      <c r="A13" s="2" t="inlineStr">
        <is>
          <t>Это одна величина в двух системах измерения, а не два разных лимита. Фраза «пробит лимит 95 % по балансовому капиталу» — категориальная ошибка: числитель берётся из одной базы, знаменатель из другой. Значение 108,6304 стоит на k, посчитанном из ряда; в DISCLOSURE до 14.09.2026 печаталось 108,6298 — та же величина при k, округлённом до пяти знаков.</t>
        </is>
      </c>
    </row>
    <row r="14">
      <c r="A14" s="22" t="inlineStr">
        <is>
          <t>3. Запас на реагирование M(T) = z(p) · σ_Δ · √T и жёлтая линия L − M(T)</t>
        </is>
      </c>
      <c r="B14" s="23" t="n"/>
      <c r="C14" s="23" t="n"/>
      <c r="D14" s="23" t="n"/>
      <c r="E14" s="23" t="n"/>
      <c r="F14" s="23" t="n"/>
      <c r="G14" s="23" t="n"/>
      <c r="H14" s="23" t="n"/>
    </row>
    <row r="15" ht="30" customHeight="1">
      <c r="A15" s="4" t="inlineStr">
        <is>
          <t>Запас M(T) при T = 1</t>
        </is>
      </c>
      <c r="B15" s="4" t="inlineStr">
        <is>
          <t>z(p) × σ_Δ × корень из T</t>
        </is>
      </c>
      <c r="C15" s="15" t="inlineStr">
        <is>
          <t>z_p*D6*SQRT(1)</t>
        </is>
      </c>
      <c r="D15" s="24">
        <f>z_p*D6*SQRT(1)</f>
        <v/>
      </c>
      <c r="E15" s="9" t="n">
        <v>5.2117</v>
      </c>
      <c r="F15" s="25">
        <f>D15-E15</f>
        <v/>
      </c>
      <c r="G15" s="12">
        <f>IF(ABS(F15)&lt;=0.0000500000,"да","НЕТ")</f>
        <v/>
      </c>
      <c r="H15" s="16" t="inlineStr">
        <is>
          <t>DISCLOSURE § 2.3</t>
        </is>
      </c>
    </row>
    <row r="16" ht="30" customHeight="1">
      <c r="A16" s="4" t="inlineStr">
        <is>
          <t>Жёлтая линия при T = 1</t>
        </is>
      </c>
      <c r="B16" s="4" t="inlineStr">
        <is>
          <t>L − M(T)</t>
        </is>
      </c>
      <c r="C16" s="15" t="inlineStr">
        <is>
          <t>D12-D15</t>
        </is>
      </c>
      <c r="D16" s="24">
        <f>D12-D15</f>
        <v/>
      </c>
      <c r="E16" s="9" t="n">
        <v>103.4187</v>
      </c>
      <c r="F16" s="25">
        <f>D16-E16</f>
        <v/>
      </c>
      <c r="G16" s="12">
        <f>IF(ABS(F16)&lt;=0.0000500000,"да","НЕТ")</f>
        <v/>
      </c>
      <c r="H16" s="16" t="inlineStr">
        <is>
          <t>DISCLOSURE § 2.3</t>
        </is>
      </c>
    </row>
    <row r="17" ht="30" customHeight="1">
      <c r="A17" s="4" t="inlineStr">
        <is>
          <t>Наблюдений выше жёлтой, T = 1</t>
        </is>
      </c>
      <c r="B17" s="4" t="inlineStr">
        <is>
          <t>сколько точек ряда не ниже жёлтой линии</t>
        </is>
      </c>
      <c r="C17" s="15" t="inlineStr">
        <is>
          <t>COUNTIF(v,"&gt;="&amp;D16)</t>
        </is>
      </c>
      <c r="D17" s="19">
        <f>COUNTIF(v,"&gt;="&amp;D16)</f>
        <v/>
      </c>
      <c r="E17" s="26" t="n">
        <v>1</v>
      </c>
      <c r="F17" s="25">
        <f>D17-E17</f>
        <v/>
      </c>
      <c r="G17" s="12">
        <f>IF(ABS(F17)&lt;=0.5000000000,"да","НЕТ")</f>
        <v/>
      </c>
      <c r="H17" s="16" t="inlineStr">
        <is>
          <t>DISCLOSURE § 2.3, Р-Д3</t>
        </is>
      </c>
    </row>
    <row r="18" ht="30" customHeight="1">
      <c r="A18" s="4" t="inlineStr">
        <is>
          <t>Доля времени выше жёлтой, T = 1</t>
        </is>
      </c>
      <c r="B18" s="4" t="inlineStr">
        <is>
          <t>их доля от 36 наблюдений</t>
        </is>
      </c>
      <c r="C18" s="15" t="inlineStr">
        <is>
          <t>COUNTIF(v,"&gt;="&amp;D16)/COUNT(v)*100</t>
        </is>
      </c>
      <c r="D18" s="20">
        <f>COUNTIF(v,"&gt;="&amp;D16)/COUNT(v)*100</f>
        <v/>
      </c>
      <c r="E18" s="27" t="n">
        <v>2.8</v>
      </c>
      <c r="F18" s="25">
        <f>D18-E18</f>
        <v/>
      </c>
      <c r="G18" s="12">
        <f>IF(ABS(F18)&lt;=0.0500000000,"да","НЕТ")</f>
        <v/>
      </c>
      <c r="H18" s="16" t="inlineStr">
        <is>
          <t>DISCLOSURE § 2.3, Р-Д3</t>
        </is>
      </c>
    </row>
    <row r="19" ht="30" customHeight="1">
      <c r="A19" s="4" t="inlineStr">
        <is>
          <t>Запас M(T) при T = 2</t>
        </is>
      </c>
      <c r="B19" s="4" t="inlineStr">
        <is>
          <t>z(p) × σ_Δ × корень из T</t>
        </is>
      </c>
      <c r="C19" s="15" t="inlineStr">
        <is>
          <t>z_p*D6*SQRT(2)</t>
        </is>
      </c>
      <c r="D19" s="24">
        <f>z_p*D6*SQRT(2)</f>
        <v/>
      </c>
      <c r="E19" s="9" t="n">
        <v>7.3705</v>
      </c>
      <c r="F19" s="25">
        <f>D19-E19</f>
        <v/>
      </c>
      <c r="G19" s="12">
        <f>IF(ABS(F19)&lt;=0.0000500000,"да","НЕТ")</f>
        <v/>
      </c>
      <c r="H19" s="16" t="inlineStr">
        <is>
          <t>DISCLOSURE § 2.3</t>
        </is>
      </c>
    </row>
    <row r="20" ht="30" customHeight="1">
      <c r="A20" s="4" t="inlineStr">
        <is>
          <t>Жёлтая линия при T = 2</t>
        </is>
      </c>
      <c r="B20" s="4" t="inlineStr">
        <is>
          <t>L − M(T)</t>
        </is>
      </c>
      <c r="C20" s="15" t="inlineStr">
        <is>
          <t>D12-D19</t>
        </is>
      </c>
      <c r="D20" s="24">
        <f>D12-D19</f>
        <v/>
      </c>
      <c r="E20" s="9" t="n">
        <v>101.2599</v>
      </c>
      <c r="F20" s="25">
        <f>D20-E20</f>
        <v/>
      </c>
      <c r="G20" s="12">
        <f>IF(ABS(F20)&lt;=0.0000500000,"да","НЕТ")</f>
        <v/>
      </c>
      <c r="H20" s="16" t="inlineStr">
        <is>
          <t>DISCLOSURE § 2.3</t>
        </is>
      </c>
    </row>
    <row r="21" ht="30" customHeight="1">
      <c r="A21" s="4" t="inlineStr">
        <is>
          <t>Наблюдений выше жёлтой, T = 2</t>
        </is>
      </c>
      <c r="B21" s="4" t="inlineStr">
        <is>
          <t>сколько точек ряда не ниже жёлтой линии</t>
        </is>
      </c>
      <c r="C21" s="15" t="inlineStr">
        <is>
          <t>COUNTIF(v,"&gt;="&amp;D20)</t>
        </is>
      </c>
      <c r="D21" s="19">
        <f>COUNTIF(v,"&gt;="&amp;D20)</f>
        <v/>
      </c>
      <c r="E21" s="26" t="n">
        <v>2</v>
      </c>
      <c r="F21" s="25">
        <f>D21-E21</f>
        <v/>
      </c>
      <c r="G21" s="12">
        <f>IF(ABS(F21)&lt;=0.5000000000,"да","НЕТ")</f>
        <v/>
      </c>
      <c r="H21" s="16" t="inlineStr">
        <is>
          <t>DISCLOSURE § 2.3, Р-Д3</t>
        </is>
      </c>
    </row>
    <row r="22" ht="30" customHeight="1">
      <c r="A22" s="4" t="inlineStr">
        <is>
          <t>Доля времени выше жёлтой, T = 2</t>
        </is>
      </c>
      <c r="B22" s="4" t="inlineStr">
        <is>
          <t>их доля от 36 наблюдений</t>
        </is>
      </c>
      <c r="C22" s="15" t="inlineStr">
        <is>
          <t>COUNTIF(v,"&gt;="&amp;D20)/COUNT(v)*100</t>
        </is>
      </c>
      <c r="D22" s="20">
        <f>COUNTIF(v,"&gt;="&amp;D20)/COUNT(v)*100</f>
        <v/>
      </c>
      <c r="E22" s="27" t="n">
        <v>5.6</v>
      </c>
      <c r="F22" s="25">
        <f>D22-E22</f>
        <v/>
      </c>
      <c r="G22" s="12">
        <f>IF(ABS(F22)&lt;=0.0500000000,"да","НЕТ")</f>
        <v/>
      </c>
      <c r="H22" s="16" t="inlineStr">
        <is>
          <t>DISCLOSURE § 2.3, Р-Д3</t>
        </is>
      </c>
    </row>
    <row r="23" ht="30" customHeight="1">
      <c r="A23" s="4" t="inlineStr">
        <is>
          <t>Запас M(T) при T = 3</t>
        </is>
      </c>
      <c r="B23" s="4" t="inlineStr">
        <is>
          <t>z(p) × σ_Δ × корень из T</t>
        </is>
      </c>
      <c r="C23" s="15" t="inlineStr">
        <is>
          <t>z_p*D6*SQRT(3)</t>
        </is>
      </c>
      <c r="D23" s="24">
        <f>z_p*D6*SQRT(3)</f>
        <v/>
      </c>
      <c r="E23" s="9" t="n">
        <v>9.026999999999999</v>
      </c>
      <c r="F23" s="25">
        <f>D23-E23</f>
        <v/>
      </c>
      <c r="G23" s="12">
        <f>IF(ABS(F23)&lt;=0.0000500000,"да","НЕТ")</f>
        <v/>
      </c>
      <c r="H23" s="16" t="inlineStr">
        <is>
          <t>DISCLOSURE § 2.3</t>
        </is>
      </c>
    </row>
    <row r="24" ht="30" customHeight="1">
      <c r="A24" s="4" t="inlineStr">
        <is>
          <t>Жёлтая линия при T = 3</t>
        </is>
      </c>
      <c r="B24" s="4" t="inlineStr">
        <is>
          <t>L − M(T)</t>
        </is>
      </c>
      <c r="C24" s="15" t="inlineStr">
        <is>
          <t>D12-D23</t>
        </is>
      </c>
      <c r="D24" s="24">
        <f>D12-D23</f>
        <v/>
      </c>
      <c r="E24" s="9" t="n">
        <v>99.60339999999999</v>
      </c>
      <c r="F24" s="25">
        <f>D24-E24</f>
        <v/>
      </c>
      <c r="G24" s="12">
        <f>IF(ABS(F24)&lt;=0.0000500000,"да","НЕТ")</f>
        <v/>
      </c>
      <c r="H24" s="16" t="inlineStr">
        <is>
          <t>DISCLOSURE § 2.3</t>
        </is>
      </c>
    </row>
    <row r="25" ht="30" customHeight="1">
      <c r="A25" s="4" t="inlineStr">
        <is>
          <t>Наблюдений выше жёлтой, T = 3</t>
        </is>
      </c>
      <c r="B25" s="4" t="inlineStr">
        <is>
          <t>сколько точек ряда не ниже жёлтой линии</t>
        </is>
      </c>
      <c r="C25" s="15" t="inlineStr">
        <is>
          <t>COUNTIF(v,"&gt;="&amp;D24)</t>
        </is>
      </c>
      <c r="D25" s="19">
        <f>COUNTIF(v,"&gt;="&amp;D24)</f>
        <v/>
      </c>
      <c r="E25" s="26" t="n">
        <v>4</v>
      </c>
      <c r="F25" s="25">
        <f>D25-E25</f>
        <v/>
      </c>
      <c r="G25" s="12">
        <f>IF(ABS(F25)&lt;=0.5000000000,"да","НЕТ")</f>
        <v/>
      </c>
      <c r="H25" s="16" t="inlineStr">
        <is>
          <t>DISCLOSURE § 2.3, Р-Д3</t>
        </is>
      </c>
    </row>
    <row r="26" ht="30" customHeight="1">
      <c r="A26" s="4" t="inlineStr">
        <is>
          <t>Доля времени выше жёлтой, T = 3</t>
        </is>
      </c>
      <c r="B26" s="4" t="inlineStr">
        <is>
          <t>их доля от 36 наблюдений</t>
        </is>
      </c>
      <c r="C26" s="15" t="inlineStr">
        <is>
          <t>COUNTIF(v,"&gt;="&amp;D24)/COUNT(v)*100</t>
        </is>
      </c>
      <c r="D26" s="20">
        <f>COUNTIF(v,"&gt;="&amp;D24)/COUNT(v)*100</f>
        <v/>
      </c>
      <c r="E26" s="27" t="n">
        <v>11.1</v>
      </c>
      <c r="F26" s="25">
        <f>D26-E26</f>
        <v/>
      </c>
      <c r="G26" s="12">
        <f>IF(ABS(F26)&lt;=0.0500000000,"да","НЕТ")</f>
        <v/>
      </c>
      <c r="H26" s="16" t="inlineStr">
        <is>
          <t>DISCLOSURE § 2.3, Р-Д3</t>
        </is>
      </c>
    </row>
    <row r="27" ht="30" customHeight="1">
      <c r="A27" s="4" t="inlineStr">
        <is>
          <t>Запас M(T) при T = 4</t>
        </is>
      </c>
      <c r="B27" s="4" t="inlineStr">
        <is>
          <t>z(p) × σ_Δ × корень из T</t>
        </is>
      </c>
      <c r="C27" s="15" t="inlineStr">
        <is>
          <t>z_p*D6*SQRT(4)</t>
        </is>
      </c>
      <c r="D27" s="24">
        <f>z_p*D6*SQRT(4)</f>
        <v/>
      </c>
      <c r="E27" s="9" t="n">
        <v>10.4235</v>
      </c>
      <c r="F27" s="25">
        <f>D27-E27</f>
        <v/>
      </c>
      <c r="G27" s="12">
        <f>IF(ABS(F27)&lt;=0.0000500000,"да","НЕТ")</f>
        <v/>
      </c>
      <c r="H27" s="16" t="inlineStr">
        <is>
          <t>DISCLOSURE § 2.3</t>
        </is>
      </c>
    </row>
    <row r="28" ht="30" customHeight="1">
      <c r="A28" s="4" t="inlineStr">
        <is>
          <t>Жёлтая линия при T = 4</t>
        </is>
      </c>
      <c r="B28" s="4" t="inlineStr">
        <is>
          <t>L − M(T)</t>
        </is>
      </c>
      <c r="C28" s="15" t="inlineStr">
        <is>
          <t>D12-D27</t>
        </is>
      </c>
      <c r="D28" s="24">
        <f>D12-D27</f>
        <v/>
      </c>
      <c r="E28" s="9" t="n">
        <v>98.2069</v>
      </c>
      <c r="F28" s="25">
        <f>D28-E28</f>
        <v/>
      </c>
      <c r="G28" s="12">
        <f>IF(ABS(F28)&lt;=0.0000500000,"да","НЕТ")</f>
        <v/>
      </c>
      <c r="H28" s="16" t="inlineStr">
        <is>
          <t>DISCLOSURE § 2.3</t>
        </is>
      </c>
    </row>
    <row r="29" ht="30" customHeight="1">
      <c r="A29" s="4" t="inlineStr">
        <is>
          <t>Наблюдений выше жёлтой, T = 4</t>
        </is>
      </c>
      <c r="B29" s="4" t="inlineStr">
        <is>
          <t>сколько точек ряда не ниже жёлтой линии</t>
        </is>
      </c>
      <c r="C29" s="15" t="inlineStr">
        <is>
          <t>COUNTIF(v,"&gt;="&amp;D28)</t>
        </is>
      </c>
      <c r="D29" s="19">
        <f>COUNTIF(v,"&gt;="&amp;D28)</f>
        <v/>
      </c>
      <c r="E29" s="26" t="n">
        <v>6</v>
      </c>
      <c r="F29" s="25">
        <f>D29-E29</f>
        <v/>
      </c>
      <c r="G29" s="12">
        <f>IF(ABS(F29)&lt;=0.5000000000,"да","НЕТ")</f>
        <v/>
      </c>
      <c r="H29" s="16" t="inlineStr">
        <is>
          <t>DISCLOSURE § 2.3, Р-Д3</t>
        </is>
      </c>
    </row>
    <row r="30" ht="30" customHeight="1">
      <c r="A30" s="4" t="inlineStr">
        <is>
          <t>Доля времени выше жёлтой, T = 4</t>
        </is>
      </c>
      <c r="B30" s="4" t="inlineStr">
        <is>
          <t>их доля от 36 наблюдений</t>
        </is>
      </c>
      <c r="C30" s="15" t="inlineStr">
        <is>
          <t>COUNTIF(v,"&gt;="&amp;D28)/COUNT(v)*100</t>
        </is>
      </c>
      <c r="D30" s="20">
        <f>COUNTIF(v,"&gt;="&amp;D28)/COUNT(v)*100</f>
        <v/>
      </c>
      <c r="E30" s="27" t="n">
        <v>16.7</v>
      </c>
      <c r="F30" s="25">
        <f>D30-E30</f>
        <v/>
      </c>
      <c r="G30" s="12">
        <f>IF(ABS(F30)&lt;=0.0500000000,"да","НЕТ")</f>
        <v/>
      </c>
      <c r="H30" s="16" t="inlineStr">
        <is>
          <t>DISCLOSURE § 2.3, Р-Д3</t>
        </is>
      </c>
    </row>
    <row r="31" ht="30" customHeight="1">
      <c r="A31" s="2" t="inlineStr">
        <is>
          <t>Р-Д3: доля в процентах от 36 наблюдений читается точнее, чем есть. 2,8 % — это одно наблюдение, 11,1 % — четыре. На комитете доля называется только вместе с числом наблюдений, поэтому строка «Наблюдений» стоит выше строки «Доля», а не под ней. Обоснование самой формулы M(T) — на листе «Обоснование M(T)»; разметка зон по этим границам — на листе «Зоны».</t>
        </is>
      </c>
    </row>
    <row r="32">
      <c r="A32" s="22" t="inlineStr">
        <is>
          <t>4. Квантили ряда (метод C). Линейная интерполяция между порядковыми статистиками</t>
        </is>
      </c>
      <c r="B32" s="23" t="n"/>
      <c r="C32" s="23" t="n"/>
      <c r="D32" s="23" t="n"/>
      <c r="E32" s="23" t="n"/>
      <c r="F32" s="23" t="n"/>
      <c r="G32" s="23" t="n"/>
      <c r="H32" s="23" t="n"/>
    </row>
    <row r="33" ht="30" customHeight="1">
      <c r="A33" s="4" t="inlineStr">
        <is>
          <t>Квантиль 85 %</t>
        </is>
      </c>
      <c r="B33" s="4" t="inlineStr">
        <is>
          <t>значение, ниже которого лежит 85 % ряда</t>
        </is>
      </c>
      <c r="C33" s="15" t="inlineStr">
        <is>
          <t>PERCENTILE(v,0.85)</t>
        </is>
      </c>
      <c r="D33" s="24">
        <f>PERCENTILE(v,0.85)</f>
        <v/>
      </c>
      <c r="E33" s="9" t="n">
        <v>98.1887</v>
      </c>
      <c r="F33" s="25">
        <f>D33-E33</f>
        <v/>
      </c>
      <c r="G33" s="12">
        <f>IF(ABS(F33)&lt;=0.0000500000,"да","НЕТ")</f>
        <v/>
      </c>
      <c r="H33" s="16" t="inlineStr">
        <is>
          <t>DISCLOSURE § 2.5</t>
        </is>
      </c>
    </row>
    <row r="34" ht="30" customHeight="1">
      <c r="A34" s="4" t="inlineStr">
        <is>
          <t>Квантиль 90 %</t>
        </is>
      </c>
      <c r="B34" s="4" t="inlineStr">
        <is>
          <t>значение, ниже которого лежит 90 % ряда</t>
        </is>
      </c>
      <c r="C34" s="15" t="inlineStr">
        <is>
          <t>PERCENTILE(v,0.90)</t>
        </is>
      </c>
      <c r="D34" s="24">
        <f>PERCENTILE(v,0.90)</f>
        <v/>
      </c>
      <c r="E34" s="9" t="n">
        <v>99.5485</v>
      </c>
      <c r="F34" s="25">
        <f>D34-E34</f>
        <v/>
      </c>
      <c r="G34" s="12">
        <f>IF(ABS(F34)&lt;=0.0000500000,"да","НЕТ")</f>
        <v/>
      </c>
      <c r="H34" s="16" t="inlineStr">
        <is>
          <t>DISCLOSURE § 2.5</t>
        </is>
      </c>
    </row>
    <row r="35" ht="30" customHeight="1">
      <c r="A35" s="4" t="inlineStr">
        <is>
          <t>Квантиль 95 %</t>
        </is>
      </c>
      <c r="B35" s="4" t="inlineStr">
        <is>
          <t>значение, ниже которого лежит 95 % ряда</t>
        </is>
      </c>
      <c r="C35" s="15" t="inlineStr">
        <is>
          <t>PERCENTILE(v,0.95)</t>
        </is>
      </c>
      <c r="D35" s="24">
        <f>PERCENTILE(v,0.95)</f>
        <v/>
      </c>
      <c r="E35" s="9" t="n">
        <v>101.0117</v>
      </c>
      <c r="F35" s="25">
        <f>D35-E35</f>
        <v/>
      </c>
      <c r="G35" s="12">
        <f>IF(ABS(F35)&lt;=0.0000500000,"да","НЕТ")</f>
        <v/>
      </c>
      <c r="H35" s="16" t="inlineStr">
        <is>
          <t>DISCLOSURE § 2.5</t>
        </is>
      </c>
    </row>
    <row r="36">
      <c r="A36" s="22" t="inlineStr">
        <is>
          <t>5. Два независимых пути к одному уровню</t>
        </is>
      </c>
      <c r="B36" s="23" t="n"/>
      <c r="C36" s="23" t="n"/>
      <c r="D36" s="23" t="n"/>
      <c r="E36" s="23" t="n"/>
      <c r="F36" s="23" t="n"/>
      <c r="G36" s="23" t="n"/>
      <c r="H36" s="23" t="n"/>
    </row>
    <row r="37" ht="30" customHeight="1">
      <c r="A37" s="4" t="inlineStr">
        <is>
          <t>Метод H: квантиль 90 % + запас T = 3</t>
        </is>
      </c>
      <c r="B37" s="4" t="inlineStr">
        <is>
          <t>квантиль₉₀(v) + M(3)</t>
        </is>
      </c>
      <c r="C37" s="15" t="inlineStr">
        <is>
          <t>D34+D23</t>
        </is>
      </c>
      <c r="D37" s="24">
        <f>D34+D23</f>
        <v/>
      </c>
      <c r="E37" s="9" t="n">
        <v>108.5755</v>
      </c>
      <c r="F37" s="25">
        <f>D37-E37</f>
        <v/>
      </c>
      <c r="G37" s="12">
        <f>IF(ABS(F37)&lt;=0.0000500000,"да","НЕТ")</f>
        <v/>
      </c>
      <c r="H37" s="16" t="inlineStr">
        <is>
          <t>DISCLOSURE § 2.4</t>
        </is>
      </c>
    </row>
    <row r="38" ht="30" customHeight="1">
      <c r="A38" s="4" t="inlineStr">
        <is>
          <t>Расхождение двух путей</t>
        </is>
      </c>
      <c r="B38" s="4" t="inlineStr">
        <is>
          <t>L (пересчёт базы) − H (цикл решения)</t>
        </is>
      </c>
      <c r="C38" s="15" t="inlineStr">
        <is>
          <t>D12-D37</t>
        </is>
      </c>
      <c r="D38" s="24">
        <f>D12-D37</f>
        <v/>
      </c>
      <c r="E38" s="9" t="n">
        <v>0.0549</v>
      </c>
      <c r="F38" s="25">
        <f>D38-E38</f>
        <v/>
      </c>
      <c r="G38" s="12">
        <f>IF(ABS(F38)&lt;=0.0000500000,"да","НЕТ")</f>
        <v/>
      </c>
      <c r="H38" s="16" t="inlineStr">
        <is>
          <t>DISCLOSURE § 2.4</t>
        </is>
      </c>
    </row>
    <row r="39" ht="30" customHeight="1">
      <c r="A39" s="2" t="inlineStr">
        <is>
          <t>Главный довод против упрёка «уровень подогнан под факт»: пути не связаны по построению. Первый смотрит на отношение баз капитала, второй — на распределение ряда и длину процесса. Сходятся на 0,05 пп.</t>
        </is>
      </c>
    </row>
    <row r="40">
      <c r="A40" s="22" t="inlineStr">
        <is>
          <t>6. Производные метрики</t>
        </is>
      </c>
      <c r="B40" s="23" t="n"/>
      <c r="C40" s="23" t="n"/>
      <c r="D40" s="23" t="n"/>
      <c r="E40" s="23" t="n"/>
      <c r="F40" s="23" t="n"/>
      <c r="G40" s="23" t="n"/>
      <c r="H40" s="23" t="n"/>
    </row>
    <row r="41" ht="30" customHeight="1">
      <c r="A41" s="4" t="inlineStr">
        <is>
          <t>D — расстояние до L, в σ</t>
        </is>
      </c>
      <c r="B41" s="4" t="inlineStr">
        <is>
          <t>(L − текущая точка) / σ_Δ</t>
        </is>
      </c>
      <c r="C41" s="15" t="inlineStr">
        <is>
          <t>(D12-D8)/D6</t>
        </is>
      </c>
      <c r="D41" s="28">
        <f>(D12-D8)/D6</f>
        <v/>
      </c>
      <c r="E41" s="29" t="n">
        <v>1.752</v>
      </c>
      <c r="F41" s="25">
        <f>D41-E41</f>
        <v/>
      </c>
      <c r="G41" s="12">
        <f>IF(ABS(F41)&lt;=0.0005000000,"да","НЕТ")</f>
        <v/>
      </c>
      <c r="H41" s="16" t="inlineStr">
        <is>
          <t>DISCLOSURE § 2.6</t>
        </is>
      </c>
    </row>
    <row r="42" ht="30" customHeight="1">
      <c r="A42" s="4" t="inlineStr">
        <is>
          <t>D при сохранении L = 95</t>
        </is>
      </c>
      <c r="B42" s="4" t="inlineStr">
        <is>
          <t>(95 − текущая точка) / σ_Δ</t>
        </is>
      </c>
      <c r="C42" s="15" t="inlineStr">
        <is>
          <t>(L_reg-D8)/D6</t>
        </is>
      </c>
      <c r="D42" s="28">
        <f>(L_reg-D8)/D6</f>
        <v/>
      </c>
      <c r="E42" s="29" t="n">
        <v>-1.599</v>
      </c>
      <c r="F42" s="25">
        <f>D42-E42</f>
        <v/>
      </c>
      <c r="G42" s="12">
        <f>IF(ABS(F42)&lt;=0.0005000000,"да","НЕТ")</f>
        <v/>
      </c>
      <c r="H42" s="16" t="inlineStr">
        <is>
          <t>DISCLOSURE § 2.6</t>
        </is>
      </c>
    </row>
    <row r="43" ht="30" customHeight="1">
      <c r="A43" s="4" t="inlineStr">
        <is>
          <t>F — падение СК до достижения L, %</t>
        </is>
      </c>
      <c r="B43" s="4" t="inlineStr">
        <is>
          <t>текущая точка / L − 1, в процентах</t>
        </is>
      </c>
      <c r="C43" s="15" t="inlineStr">
        <is>
          <t>(D8/D12-1)*100</t>
        </is>
      </c>
      <c r="D43" s="14">
        <f>(D8/D12-1)*100</f>
        <v/>
      </c>
      <c r="E43" s="11" t="n">
        <v>-6.56</v>
      </c>
      <c r="F43" s="25">
        <f>D43-E43</f>
        <v/>
      </c>
      <c r="G43" s="12">
        <f>IF(ABS(F43)&lt;=0.0050000000,"да","НЕТ")</f>
        <v/>
      </c>
      <c r="H43" s="16" t="inlineStr">
        <is>
          <t>DISCLOSURE § 2.6</t>
        </is>
      </c>
    </row>
    <row r="44" ht="30" customHeight="1">
      <c r="A44" s="4" t="inlineStr">
        <is>
          <t>T* — остаток времени до лимита, мес.</t>
        </is>
      </c>
      <c r="B44" s="4" t="inlineStr">
        <is>
          <t>сколько месяцев до лимита при доверии p: ((L − v) / (z·σ_Δ))²</t>
        </is>
      </c>
      <c r="C44" s="15" t="inlineStr">
        <is>
          <t>((D12-D8)/(z_p*D6))^2</t>
        </is>
      </c>
      <c r="D44" s="24">
        <f>((D12-D8)/(z_p*D6))^2</f>
        <v/>
      </c>
      <c r="E44" s="9" t="n">
        <v>1.8697</v>
      </c>
      <c r="F44" s="25">
        <f>D44-E44</f>
        <v/>
      </c>
      <c r="G44" s="12">
        <f>IF(ABS(F44)&lt;=0.0000500000,"да","НЕТ")</f>
        <v/>
      </c>
      <c r="H44" s="16" t="inlineStr">
        <is>
          <t>новое, 14.09.2026</t>
        </is>
      </c>
    </row>
    <row r="45" ht="30" customHeight="1">
      <c r="A45" s="2" t="inlineStr">
        <is>
          <t>T* — та же формула M(T), решённая относительно T. Она переводит зону из цвета в срок: в текущей точке до лимита остаётся 1,87 месяца при доверии 90 %. Это число говорит комитету больше, чем «мы в жёлтой зоне».</t>
        </is>
      </c>
    </row>
    <row r="46">
      <c r="A46" s="22" t="inlineStr">
        <is>
          <t>7. Цена решения «уровень не трогаем»: обратный счёт при L = 95</t>
        </is>
      </c>
      <c r="B46" s="23" t="n"/>
      <c r="C46" s="23" t="n"/>
      <c r="D46" s="23" t="n"/>
      <c r="E46" s="23" t="n"/>
      <c r="F46" s="23" t="n"/>
      <c r="G46" s="23" t="n"/>
      <c r="H46" s="23" t="n"/>
    </row>
    <row r="47" ht="30" customHeight="1">
      <c r="A47" s="4" t="inlineStr">
        <is>
          <t>Жёлтая линия при L = 95</t>
        </is>
      </c>
      <c r="B47" s="4" t="inlineStr">
        <is>
          <t>95 − M(3)</t>
        </is>
      </c>
      <c r="C47" s="15" t="inlineStr">
        <is>
          <t>L_reg-D23</t>
        </is>
      </c>
      <c r="D47" s="24">
        <f>L_reg-D23</f>
        <v/>
      </c>
      <c r="E47" s="9" t="n">
        <v>85.973</v>
      </c>
      <c r="F47" s="25">
        <f>D47-E47</f>
        <v/>
      </c>
      <c r="G47" s="12">
        <f>IF(ABS(F47)&lt;=0.0000500000,"да","НЕТ")</f>
        <v/>
      </c>
      <c r="H47" s="16" t="inlineStr">
        <is>
          <t>DISCLOSURE § 2.6</t>
        </is>
      </c>
    </row>
    <row r="48" ht="30" customHeight="1">
      <c r="A48" s="4" t="inlineStr">
        <is>
          <t>Наблюдений выше неё</t>
        </is>
      </c>
      <c r="B48" s="4" t="inlineStr">
        <is>
          <t>сколько точек ряда не ниже 85,97</t>
        </is>
      </c>
      <c r="C48" s="15" t="inlineStr">
        <is>
          <t>COUNTIF(v,"&gt;="&amp;D47)</t>
        </is>
      </c>
      <c r="D48" s="19">
        <f>COUNTIF(v,"&gt;="&amp;D47)</f>
        <v/>
      </c>
      <c r="E48" s="26" t="n">
        <v>31</v>
      </c>
      <c r="F48" s="25">
        <f>D48-E48</f>
        <v/>
      </c>
      <c r="G48" s="12">
        <f>IF(ABS(F48)&lt;=0.5000000000,"да","НЕТ")</f>
        <v/>
      </c>
      <c r="H48" s="16" t="inlineStr">
        <is>
          <t>DISCLOSURE § 2.6</t>
        </is>
      </c>
    </row>
    <row r="49" ht="30" customHeight="1">
      <c r="A49" s="4" t="inlineStr">
        <is>
          <t>Доля времени выше неё</t>
        </is>
      </c>
      <c r="B49" s="4" t="inlineStr">
        <is>
          <t>их доля от 36 наблюдений</t>
        </is>
      </c>
      <c r="C49" s="15" t="inlineStr">
        <is>
          <t>COUNTIF(v,"&gt;="&amp;D47)/COUNT(v)*100</t>
        </is>
      </c>
      <c r="D49" s="20">
        <f>COUNTIF(v,"&gt;="&amp;D47)/COUNT(v)*100</f>
        <v/>
      </c>
      <c r="E49" s="27" t="n">
        <v>86.09999999999999</v>
      </c>
      <c r="F49" s="25">
        <f>D49-E49</f>
        <v/>
      </c>
      <c r="G49" s="12">
        <f>IF(ABS(F49)&lt;=0.0500000000,"да","НЕТ")</f>
        <v/>
      </c>
      <c r="H49" s="16" t="inlineStr">
        <is>
          <t>DISCLOSURE § 2.6</t>
        </is>
      </c>
    </row>
    <row r="50" ht="30" customHeight="1">
      <c r="A50" s="2" t="inlineStr">
        <is>
          <t>31 наблюдение из 36 — это светофор с постоянно горящей жёлтой лампой. Именно это число отвечает на предложение «оставить 95 % и ничего не менять».</t>
        </is>
      </c>
    </row>
    <row r="52" ht="32" customHeight="1">
      <c r="A52" s="30" t="inlineStr">
        <is>
          <t>Строк не сошлось</t>
        </is>
      </c>
      <c r="B52" s="31">
        <f>COUNTIF(G6:G49,"НЕТ")</f>
        <v/>
      </c>
      <c r="C52" s="32" t="inlineStr">
        <is>
          <t>Ноль означает: все опубликованные числа воспроизводятся формулами этой книги. Это не означает, что формулы верны по существу — воспроизводимость и правильность разные вещи.</t>
        </is>
      </c>
      <c r="D52" s="33" t="n"/>
      <c r="E52" s="33" t="n"/>
      <c r="F52" s="33" t="n"/>
      <c r="G52" s="33" t="n"/>
      <c r="H52" s="34" t="n"/>
    </row>
  </sheetData>
  <mergeCells count="7">
    <mergeCell ref="A50:H50"/>
    <mergeCell ref="A39:H39"/>
    <mergeCell ref="A2:H2"/>
    <mergeCell ref="C52:H52"/>
    <mergeCell ref="A13:H13"/>
    <mergeCell ref="A45:H45"/>
    <mergeCell ref="A31:H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38" customWidth="1" min="3" max="3"/>
    <col width="13" customWidth="1" min="4" max="4"/>
    <col width="13" customWidth="1" min="5" max="5"/>
    <col width="12" customWidth="1" min="6" max="6"/>
    <col width="10" customWidth="1" min="7" max="7"/>
    <col width="22" customWidth="1" min="8" max="8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Обоснование формулы M(T) = z(p) · σ_Δ · √T</t>
        </is>
      </c>
    </row>
    <row r="2" ht="42" customHeight="1">
      <c r="A2" s="2" t="inlineStr">
        <is>
          <t>Формула держится на трёх допущениях: приросты независимы (отсюда √T), распределение суммы близко к нормальному (отсюда z), дрейфа нет. Ниже каждое проверено на нашем же ряде. Колонки J–N — служебные: T-месячные изменения, по которым считаются проверки.</t>
        </is>
      </c>
    </row>
    <row r="4" ht="30" customHeight="1">
      <c r="A4" s="5" t="inlineStr">
        <is>
          <t>Проверка</t>
        </is>
      </c>
      <c r="B4" s="5" t="inlineStr">
        <is>
          <t>Что именно проверяется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Ожидание</t>
        </is>
      </c>
      <c r="F4" s="5" t="inlineStr">
        <is>
          <t>Расхождение</t>
        </is>
      </c>
      <c r="G4" s="5" t="inlineStr">
        <is>
          <t>Сходится</t>
        </is>
      </c>
      <c r="H4" s="5" t="inlineStr">
        <is>
          <t>Как читать</t>
        </is>
      </c>
      <c r="J4" s="5" t="inlineStr">
        <is>
          <t>Изменение за 1 мес.</t>
        </is>
      </c>
      <c r="K4" s="5" t="inlineStr">
        <is>
          <t>Изменение за 2 мес.</t>
        </is>
      </c>
      <c r="L4" s="5" t="inlineStr">
        <is>
          <t>Изменение за 3 мес.</t>
        </is>
      </c>
      <c r="M4" s="5" t="inlineStr">
        <is>
          <t>Изменение за 4 мес.</t>
        </is>
      </c>
      <c r="N4" s="5" t="inlineStr">
        <is>
          <t>Изменение за 6 мес.</t>
        </is>
      </c>
    </row>
    <row r="5">
      <c r="A5" s="22" t="inlineStr">
        <is>
          <t>1. Независимость приростов — единственное, на чём держится √T</t>
        </is>
      </c>
      <c r="B5" s="23" t="n"/>
      <c r="C5" s="23" t="n"/>
      <c r="D5" s="23" t="n"/>
      <c r="E5" s="23" t="n"/>
      <c r="F5" s="23" t="n"/>
      <c r="G5" s="23" t="n"/>
      <c r="H5" s="23" t="n"/>
      <c r="J5" s="35">
        <f>Ряд!H6-Ряд!H5</f>
        <v/>
      </c>
      <c r="K5" s="35">
        <f>Ряд!H7-Ряд!H5</f>
        <v/>
      </c>
      <c r="L5" s="35">
        <f>Ряд!H8-Ряд!H5</f>
        <v/>
      </c>
      <c r="M5" s="35">
        <f>Ряд!H9-Ряд!H5</f>
        <v/>
      </c>
      <c r="N5" s="35">
        <f>Ряд!H11-Ряд!H5</f>
        <v/>
      </c>
    </row>
    <row r="6" ht="30" customHeight="1">
      <c r="A6" s="4" t="inlineStr">
        <is>
          <t>Автокорреляция лага 1</t>
        </is>
      </c>
      <c r="B6" s="4" t="inlineStr">
        <is>
          <t>связь прироста с предыдущим приростом</t>
        </is>
      </c>
      <c r="C6" s="15" t="inlineStr">
        <is>
          <t>CORREL(Ряд!J7:J40,Ряд!J6:J39)</t>
        </is>
      </c>
      <c r="D6" s="24">
        <f>CORREL(Ряд!J7:J40,Ряд!J6:J39)</f>
        <v/>
      </c>
      <c r="E6" s="9" t="n">
        <v>-0.0828</v>
      </c>
      <c r="F6" s="25">
        <f>D6-E6</f>
        <v/>
      </c>
      <c r="G6" s="12">
        <f>IF(ABS(F6)&lt;=0.0000500000,"да","НЕТ")</f>
        <v/>
      </c>
      <c r="H6" s="16" t="inlineStr">
        <is>
          <t>новое, 14.09.2026</t>
        </is>
      </c>
      <c r="J6" s="35">
        <f>Ряд!H7-Ряд!H6</f>
        <v/>
      </c>
      <c r="K6" s="35">
        <f>Ряд!H8-Ряд!H6</f>
        <v/>
      </c>
      <c r="L6" s="35">
        <f>Ряд!H9-Ряд!H6</f>
        <v/>
      </c>
      <c r="M6" s="35">
        <f>Ряд!H10-Ряд!H6</f>
        <v/>
      </c>
      <c r="N6" s="35">
        <f>Ряд!H12-Ряд!H6</f>
        <v/>
      </c>
    </row>
    <row r="7" ht="30" customHeight="1">
      <c r="A7" s="4" t="inlineStr">
        <is>
          <t>Порог значимости 2/√n</t>
        </is>
      </c>
      <c r="B7" s="4" t="inlineStr">
        <is>
          <t>выше этого значения автокорреляцию нельзя считать шумом</t>
        </is>
      </c>
      <c r="C7" s="15" t="inlineStr">
        <is>
          <t>2/SQRT(COUNT(d))</t>
        </is>
      </c>
      <c r="D7" s="24">
        <f>2/SQRT(COUNT(d))</f>
        <v/>
      </c>
      <c r="E7" s="9" t="n">
        <v>0.3381</v>
      </c>
      <c r="F7" s="25">
        <f>D7-E7</f>
        <v/>
      </c>
      <c r="G7" s="12">
        <f>IF(ABS(F7)&lt;=0.0000500000,"да","НЕТ")</f>
        <v/>
      </c>
      <c r="H7" s="16" t="inlineStr">
        <is>
          <t>новое</t>
        </is>
      </c>
      <c r="J7" s="35">
        <f>Ряд!H8-Ряд!H7</f>
        <v/>
      </c>
      <c r="K7" s="35">
        <f>Ряд!H9-Ряд!H7</f>
        <v/>
      </c>
      <c r="L7" s="35">
        <f>Ряд!H10-Ряд!H7</f>
        <v/>
      </c>
      <c r="M7" s="35">
        <f>Ряд!H11-Ряд!H7</f>
        <v/>
      </c>
      <c r="N7" s="35">
        <f>Ряд!H13-Ряд!H7</f>
        <v/>
      </c>
    </row>
    <row r="8" ht="30" customHeight="1">
      <c r="A8" s="2" t="inlineStr">
        <is>
          <t>|−0,083| против порога 0,338 — свидетельств против независимости нет. Это НЕ доказательство независимости: при 35 наблюдениях тест почти лишён мощности. Сказать об этом надо самим, иначе скажет оппонент.</t>
        </is>
      </c>
      <c r="J8" s="35">
        <f>Ряд!H9-Ряд!H8</f>
        <v/>
      </c>
      <c r="K8" s="35">
        <f>Ряд!H10-Ряд!H8</f>
        <v/>
      </c>
      <c r="L8" s="35">
        <f>Ряд!H11-Ряд!H8</f>
        <v/>
      </c>
      <c r="M8" s="35">
        <f>Ряд!H12-Ряд!H8</f>
        <v/>
      </c>
      <c r="N8" s="35">
        <f>Ряд!H14-Ряд!H8</f>
        <v/>
      </c>
    </row>
    <row r="9" ht="30" customHeight="1">
      <c r="A9" s="4" t="inlineStr">
        <is>
          <t>Фактическое с.к.о. изменений за 1 мес.</t>
        </is>
      </c>
      <c r="B9" s="4" t="inlineStr">
        <is>
          <t>разброс реальных 1-месячных изменений ряда</t>
        </is>
      </c>
      <c r="C9" s="15" t="inlineStr">
        <is>
          <t>STDEV($J$5:$J$39)</t>
        </is>
      </c>
      <c r="D9" s="24">
        <f>STDEV($J$5:$J$39)</f>
        <v/>
      </c>
      <c r="E9" s="9" t="n">
        <v>4.0667</v>
      </c>
      <c r="F9" s="25">
        <f>D9-E9</f>
        <v/>
      </c>
      <c r="G9" s="12">
        <f>IF(ABS(F9)&lt;=0.0000500000,"да","НЕТ")</f>
        <v/>
      </c>
      <c r="H9" s="16" t="inlineStr">
        <is>
          <t>новое</t>
        </is>
      </c>
      <c r="J9" s="35">
        <f>Ряд!H10-Ряд!H9</f>
        <v/>
      </c>
      <c r="K9" s="35">
        <f>Ряд!H11-Ряд!H9</f>
        <v/>
      </c>
      <c r="L9" s="35">
        <f>Ряд!H12-Ряд!H9</f>
        <v/>
      </c>
      <c r="M9" s="35">
        <f>Ряд!H13-Ряд!H9</f>
        <v/>
      </c>
      <c r="N9" s="35">
        <f>Ряд!H15-Ряд!H9</f>
        <v/>
      </c>
    </row>
    <row r="10" ht="30" customHeight="1">
      <c r="A10" s="4" t="inlineStr">
        <is>
          <t>Отношение факт / модель при T = 1</t>
        </is>
      </c>
      <c r="B10" s="4" t="inlineStr">
        <is>
          <t>во сколько раз реальный разброс отличается от σ_Δ·√1</t>
        </is>
      </c>
      <c r="C10" s="15" t="inlineStr">
        <is>
          <t>D9/('Расчёт'!D6*SQRT(1))</t>
        </is>
      </c>
      <c r="D10" s="24">
        <f>D9/('Расчёт'!D6*SQRT(1))</f>
        <v/>
      </c>
      <c r="E10" s="9" t="n">
        <v>1</v>
      </c>
      <c r="F10" s="25">
        <f>D10-E10</f>
        <v/>
      </c>
      <c r="G10" s="12">
        <f>IF(ABS(F10)&lt;=0.0000500000,"да","НЕТ")</f>
        <v/>
      </c>
      <c r="H10" s="16" t="inlineStr">
        <is>
          <t>новое</t>
        </is>
      </c>
      <c r="J10" s="35">
        <f>Ряд!H11-Ряд!H10</f>
        <v/>
      </c>
      <c r="K10" s="35">
        <f>Ряд!H12-Ряд!H10</f>
        <v/>
      </c>
      <c r="L10" s="35">
        <f>Ряд!H13-Ряд!H10</f>
        <v/>
      </c>
      <c r="M10" s="35">
        <f>Ряд!H14-Ряд!H10</f>
        <v/>
      </c>
      <c r="N10" s="35">
        <f>Ряд!H16-Ряд!H10</f>
        <v/>
      </c>
    </row>
    <row r="11" ht="30" customHeight="1">
      <c r="A11" s="4" t="inlineStr">
        <is>
          <t>Фактическое с.к.о. изменений за 2 мес.</t>
        </is>
      </c>
      <c r="B11" s="4" t="inlineStr">
        <is>
          <t>разброс реальных 2-месячных изменений ряда</t>
        </is>
      </c>
      <c r="C11" s="15" t="inlineStr">
        <is>
          <t>STDEV($K$5:$K$38)</t>
        </is>
      </c>
      <c r="D11" s="24">
        <f>STDEV($K$5:$K$38)</f>
        <v/>
      </c>
      <c r="E11" s="9" t="n">
        <v>5.5686</v>
      </c>
      <c r="F11" s="25">
        <f>D11-E11</f>
        <v/>
      </c>
      <c r="G11" s="12">
        <f>IF(ABS(F11)&lt;=0.0000500000,"да","НЕТ")</f>
        <v/>
      </c>
      <c r="H11" s="16" t="inlineStr">
        <is>
          <t>новое</t>
        </is>
      </c>
      <c r="J11" s="35">
        <f>Ряд!H12-Ряд!H11</f>
        <v/>
      </c>
      <c r="K11" s="35">
        <f>Ряд!H13-Ряд!H11</f>
        <v/>
      </c>
      <c r="L11" s="35">
        <f>Ряд!H14-Ряд!H11</f>
        <v/>
      </c>
      <c r="M11" s="35">
        <f>Ряд!H15-Ряд!H11</f>
        <v/>
      </c>
      <c r="N11" s="35">
        <f>Ряд!H17-Ряд!H11</f>
        <v/>
      </c>
    </row>
    <row r="12" ht="30" customHeight="1">
      <c r="A12" s="4" t="inlineStr">
        <is>
          <t>Отношение факт / модель при T = 2</t>
        </is>
      </c>
      <c r="B12" s="4" t="inlineStr">
        <is>
          <t>во сколько раз реальный разброс отличается от σ_Δ·√2</t>
        </is>
      </c>
      <c r="C12" s="15" t="inlineStr">
        <is>
          <t>D11/('Расчёт'!D6*SQRT(2))</t>
        </is>
      </c>
      <c r="D12" s="24">
        <f>D11/('Расчёт'!D6*SQRT(2))</f>
        <v/>
      </c>
      <c r="E12" s="9" t="n">
        <v>0.9681999999999999</v>
      </c>
      <c r="F12" s="25">
        <f>D12-E12</f>
        <v/>
      </c>
      <c r="G12" s="12">
        <f>IF(ABS(F12)&lt;=0.0000500000,"да","НЕТ")</f>
        <v/>
      </c>
      <c r="H12" s="16" t="inlineStr">
        <is>
          <t>новое</t>
        </is>
      </c>
      <c r="J12" s="35">
        <f>Ряд!H13-Ряд!H12</f>
        <v/>
      </c>
      <c r="K12" s="35">
        <f>Ряд!H14-Ряд!H12</f>
        <v/>
      </c>
      <c r="L12" s="35">
        <f>Ряд!H15-Ряд!H12</f>
        <v/>
      </c>
      <c r="M12" s="35">
        <f>Ряд!H16-Ряд!H12</f>
        <v/>
      </c>
      <c r="N12" s="35">
        <f>Ряд!H18-Ряд!H12</f>
        <v/>
      </c>
    </row>
    <row r="13" ht="30" customHeight="1">
      <c r="A13" s="4" t="inlineStr">
        <is>
          <t>Фактическое с.к.о. изменений за 3 мес.</t>
        </is>
      </c>
      <c r="B13" s="4" t="inlineStr">
        <is>
          <t>разброс реальных 3-месячных изменений ряда</t>
        </is>
      </c>
      <c r="C13" s="15" t="inlineStr">
        <is>
          <t>STDEV($L$5:$L$37)</t>
        </is>
      </c>
      <c r="D13" s="24">
        <f>STDEV($L$5:$L$37)</f>
        <v/>
      </c>
      <c r="E13" s="9" t="n">
        <v>6.4021</v>
      </c>
      <c r="F13" s="25">
        <f>D13-E13</f>
        <v/>
      </c>
      <c r="G13" s="12">
        <f>IF(ABS(F13)&lt;=0.0000500000,"да","НЕТ")</f>
        <v/>
      </c>
      <c r="H13" s="16" t="inlineStr">
        <is>
          <t>новое</t>
        </is>
      </c>
      <c r="J13" s="35">
        <f>Ряд!H14-Ряд!H13</f>
        <v/>
      </c>
      <c r="K13" s="35">
        <f>Ряд!H15-Ряд!H13</f>
        <v/>
      </c>
      <c r="L13" s="35">
        <f>Ряд!H16-Ряд!H13</f>
        <v/>
      </c>
      <c r="M13" s="35">
        <f>Ряд!H17-Ряд!H13</f>
        <v/>
      </c>
      <c r="N13" s="35">
        <f>Ряд!H19-Ряд!H13</f>
        <v/>
      </c>
    </row>
    <row r="14" ht="30" customHeight="1">
      <c r="A14" s="4" t="inlineStr">
        <is>
          <t>Отношение факт / модель при T = 3</t>
        </is>
      </c>
      <c r="B14" s="4" t="inlineStr">
        <is>
          <t>во сколько раз реальный разброс отличается от σ_Δ·√3</t>
        </is>
      </c>
      <c r="C14" s="15" t="inlineStr">
        <is>
          <t>D13/('Расчёт'!D6*SQRT(3))</t>
        </is>
      </c>
      <c r="D14" s="24">
        <f>D13/('Расчёт'!D6*SQRT(3))</f>
        <v/>
      </c>
      <c r="E14" s="9" t="n">
        <v>0.9089</v>
      </c>
      <c r="F14" s="25">
        <f>D14-E14</f>
        <v/>
      </c>
      <c r="G14" s="12">
        <f>IF(ABS(F14)&lt;=0.0000500000,"да","НЕТ")</f>
        <v/>
      </c>
      <c r="H14" s="16" t="inlineStr">
        <is>
          <t>новое</t>
        </is>
      </c>
      <c r="J14" s="35">
        <f>Ряд!H15-Ряд!H14</f>
        <v/>
      </c>
      <c r="K14" s="35">
        <f>Ряд!H16-Ряд!H14</f>
        <v/>
      </c>
      <c r="L14" s="35">
        <f>Ряд!H17-Ряд!H14</f>
        <v/>
      </c>
      <c r="M14" s="35">
        <f>Ряд!H18-Ряд!H14</f>
        <v/>
      </c>
      <c r="N14" s="35">
        <f>Ряд!H20-Ряд!H14</f>
        <v/>
      </c>
    </row>
    <row r="15" ht="30" customHeight="1">
      <c r="A15" s="4" t="inlineStr">
        <is>
          <t>Фактическое с.к.о. изменений за 4 мес.</t>
        </is>
      </c>
      <c r="B15" s="4" t="inlineStr">
        <is>
          <t>разброс реальных 4-месячных изменений ряда</t>
        </is>
      </c>
      <c r="C15" s="15" t="inlineStr">
        <is>
          <t>STDEV($M$5:$M$36)</t>
        </is>
      </c>
      <c r="D15" s="24">
        <f>STDEV($M$5:$M$36)</f>
        <v/>
      </c>
      <c r="E15" s="9" t="n">
        <v>7.1177</v>
      </c>
      <c r="F15" s="25">
        <f>D15-E15</f>
        <v/>
      </c>
      <c r="G15" s="12">
        <f>IF(ABS(F15)&lt;=0.0000500000,"да","НЕТ")</f>
        <v/>
      </c>
      <c r="H15" s="16" t="inlineStr">
        <is>
          <t>новое</t>
        </is>
      </c>
      <c r="J15" s="35">
        <f>Ряд!H16-Ряд!H15</f>
        <v/>
      </c>
      <c r="K15" s="35">
        <f>Ряд!H17-Ряд!H15</f>
        <v/>
      </c>
      <c r="L15" s="35">
        <f>Ряд!H18-Ряд!H15</f>
        <v/>
      </c>
      <c r="M15" s="35">
        <f>Ряд!H19-Ряд!H15</f>
        <v/>
      </c>
      <c r="N15" s="35">
        <f>Ряд!H21-Ряд!H15</f>
        <v/>
      </c>
    </row>
    <row r="16" ht="30" customHeight="1">
      <c r="A16" s="4" t="inlineStr">
        <is>
          <t>Отношение факт / модель при T = 4</t>
        </is>
      </c>
      <c r="B16" s="4" t="inlineStr">
        <is>
          <t>во сколько раз реальный разброс отличается от σ_Δ·√4</t>
        </is>
      </c>
      <c r="C16" s="15" t="inlineStr">
        <is>
          <t>D15/('Расчёт'!D6*SQRT(4))</t>
        </is>
      </c>
      <c r="D16" s="24">
        <f>D15/('Расчёт'!D6*SQRT(4))</f>
        <v/>
      </c>
      <c r="E16" s="9" t="n">
        <v>0.8751</v>
      </c>
      <c r="F16" s="25">
        <f>D16-E16</f>
        <v/>
      </c>
      <c r="G16" s="12">
        <f>IF(ABS(F16)&lt;=0.0000500000,"да","НЕТ")</f>
        <v/>
      </c>
      <c r="H16" s="16" t="inlineStr">
        <is>
          <t>новое</t>
        </is>
      </c>
      <c r="J16" s="35">
        <f>Ряд!H17-Ряд!H16</f>
        <v/>
      </c>
      <c r="K16" s="35">
        <f>Ряд!H18-Ряд!H16</f>
        <v/>
      </c>
      <c r="L16" s="35">
        <f>Ряд!H19-Ряд!H16</f>
        <v/>
      </c>
      <c r="M16" s="35">
        <f>Ряд!H20-Ряд!H16</f>
        <v/>
      </c>
      <c r="N16" s="35">
        <f>Ряд!H22-Ряд!H16</f>
        <v/>
      </c>
    </row>
    <row r="17" ht="30" customHeight="1">
      <c r="A17" s="4" t="inlineStr">
        <is>
          <t>Фактическое с.к.о. изменений за 6 мес.</t>
        </is>
      </c>
      <c r="B17" s="4" t="inlineStr">
        <is>
          <t>разброс реальных 6-месячных изменений ряда</t>
        </is>
      </c>
      <c r="C17" s="15" t="inlineStr">
        <is>
          <t>STDEV($N$5:$N$34)</t>
        </is>
      </c>
      <c r="D17" s="24">
        <f>STDEV($N$5:$N$34)</f>
        <v/>
      </c>
      <c r="E17" s="9" t="n">
        <v>7.694</v>
      </c>
      <c r="F17" s="25">
        <f>D17-E17</f>
        <v/>
      </c>
      <c r="G17" s="12">
        <f>IF(ABS(F17)&lt;=0.0000500000,"да","НЕТ")</f>
        <v/>
      </c>
      <c r="H17" s="16" t="inlineStr">
        <is>
          <t>новое</t>
        </is>
      </c>
      <c r="J17" s="35">
        <f>Ряд!H18-Ряд!H17</f>
        <v/>
      </c>
      <c r="K17" s="35">
        <f>Ряд!H19-Ряд!H17</f>
        <v/>
      </c>
      <c r="L17" s="35">
        <f>Ряд!H20-Ряд!H17</f>
        <v/>
      </c>
      <c r="M17" s="35">
        <f>Ряд!H21-Ряд!H17</f>
        <v/>
      </c>
      <c r="N17" s="35">
        <f>Ряд!H23-Ряд!H17</f>
        <v/>
      </c>
    </row>
    <row r="18" ht="30" customHeight="1">
      <c r="A18" s="4" t="inlineStr">
        <is>
          <t>Отношение факт / модель при T = 6</t>
        </is>
      </c>
      <c r="B18" s="4" t="inlineStr">
        <is>
          <t>во сколько раз реальный разброс отличается от σ_Δ·√6</t>
        </is>
      </c>
      <c r="C18" s="15" t="inlineStr">
        <is>
          <t>D17/('Расчёт'!D6*SQRT(6))</t>
        </is>
      </c>
      <c r="D18" s="24">
        <f>D17/('Расчёт'!D6*SQRT(6))</f>
        <v/>
      </c>
      <c r="E18" s="9" t="n">
        <v>0.7724</v>
      </c>
      <c r="F18" s="25">
        <f>D18-E18</f>
        <v/>
      </c>
      <c r="G18" s="12">
        <f>IF(ABS(F18)&lt;=0.0000500000,"да","НЕТ")</f>
        <v/>
      </c>
      <c r="H18" s="16" t="inlineStr">
        <is>
          <t>новое</t>
        </is>
      </c>
      <c r="J18" s="35">
        <f>Ряд!H19-Ряд!H18</f>
        <v/>
      </c>
      <c r="K18" s="35">
        <f>Ряд!H20-Ряд!H18</f>
        <v/>
      </c>
      <c r="L18" s="35">
        <f>Ряд!H21-Ряд!H18</f>
        <v/>
      </c>
      <c r="M18" s="35">
        <f>Ряд!H22-Ряд!H18</f>
        <v/>
      </c>
      <c r="N18" s="35">
        <f>Ряд!H24-Ряд!H18</f>
        <v/>
      </c>
    </row>
    <row r="19" ht="44" customHeight="1">
      <c r="A19" s="2" t="inlineStr">
        <is>
          <t>Отношение ниже единицы означает, что √T ЗАВЫШАЕТ разброс: ряд слегка возвращается к среднему. На T = 3 завышение 9 %, на T = 6 — 23 %. Для буфера это ошибка в безопасную сторону — жёлтая линия ниже, предупреждение раньше. Оговорка: окна перекрываются, поэтому это оценка, а не точное измерение.</t>
        </is>
      </c>
      <c r="J19" s="35">
        <f>Ряд!H20-Ряд!H19</f>
        <v/>
      </c>
      <c r="K19" s="35">
        <f>Ряд!H21-Ряд!H19</f>
        <v/>
      </c>
      <c r="L19" s="35">
        <f>Ряд!H22-Ряд!H19</f>
        <v/>
      </c>
      <c r="M19" s="35">
        <f>Ряд!H23-Ряд!H19</f>
        <v/>
      </c>
      <c r="N19" s="35">
        <f>Ряд!H25-Ряд!H19</f>
        <v/>
      </c>
    </row>
    <row r="20">
      <c r="A20" s="22" t="inlineStr">
        <is>
          <t>2. Нормальность — и почему нужна не та, о которой спрашивают</t>
        </is>
      </c>
      <c r="B20" s="23" t="n"/>
      <c r="C20" s="23" t="n"/>
      <c r="D20" s="23" t="n"/>
      <c r="E20" s="23" t="n"/>
      <c r="F20" s="23" t="n"/>
      <c r="G20" s="23" t="n"/>
      <c r="H20" s="23" t="n"/>
      <c r="J20" s="35">
        <f>Ряд!H21-Ряд!H20</f>
        <v/>
      </c>
      <c r="K20" s="35">
        <f>Ряд!H22-Ряд!H20</f>
        <v/>
      </c>
      <c r="L20" s="35">
        <f>Ряд!H23-Ряд!H20</f>
        <v/>
      </c>
      <c r="M20" s="35">
        <f>Ряд!H24-Ряд!H20</f>
        <v/>
      </c>
      <c r="N20" s="35">
        <f>Ряд!H26-Ряд!H20</f>
        <v/>
      </c>
    </row>
    <row r="21" ht="30" customHeight="1">
      <c r="A21" s="4" t="inlineStr">
        <is>
          <t>Асимметрия приростов</t>
        </is>
      </c>
      <c r="B21" s="4" t="inlineStr">
        <is>
          <t>скошенность месячных приростов: третий момент / σ³</t>
        </is>
      </c>
      <c r="C21" s="15" t="inlineStr">
        <is>
          <t>(SUMPRODUCT((d-AVERAGE(d))^3)/COUNT(d))/(SUMPRODUCT((d-AVERAGE(d))^2)/COUNT(d))^1.5</t>
        </is>
      </c>
      <c r="D21" s="24">
        <f>(SUMPRODUCT((d-AVERAGE(d))^3)/COUNT(d))/(SUMPRODUCT((d-AVERAGE(d))^2)/COUNT(d))^1.5</f>
        <v/>
      </c>
      <c r="E21" s="9" t="n">
        <v>0.6738</v>
      </c>
      <c r="F21" s="25">
        <f>D21-E21</f>
        <v/>
      </c>
      <c r="G21" s="12">
        <f>IF(ABS(F21)&lt;=0.0000500000,"да","НЕТ")</f>
        <v/>
      </c>
      <c r="H21" s="16" t="inlineStr">
        <is>
          <t>новое</t>
        </is>
      </c>
      <c r="J21" s="35">
        <f>Ряд!H22-Ряд!H21</f>
        <v/>
      </c>
      <c r="K21" s="35">
        <f>Ряд!H23-Ряд!H21</f>
        <v/>
      </c>
      <c r="L21" s="35">
        <f>Ряд!H24-Ряд!H21</f>
        <v/>
      </c>
      <c r="M21" s="35">
        <f>Ряд!H25-Ряд!H21</f>
        <v/>
      </c>
      <c r="N21" s="35">
        <f>Ряд!H27-Ряд!H21</f>
        <v/>
      </c>
    </row>
    <row r="22" ht="30" customHeight="1">
      <c r="A22" s="4" t="inlineStr">
        <is>
          <t>Избыточный эксцесс приростов</t>
        </is>
      </c>
      <c r="B22" s="4" t="inlineStr">
        <is>
          <t>толщина хвостов приростов: четвёртый момент / σ⁴ − 3</t>
        </is>
      </c>
      <c r="C22" s="15" t="inlineStr">
        <is>
          <t>(SUMPRODUCT((d-AVERAGE(d))^4)/COUNT(d))/(SUMPRODUCT((d-AVERAGE(d))^2)/COUNT(d))^2-3</t>
        </is>
      </c>
      <c r="D22" s="24">
        <f>(SUMPRODUCT((d-AVERAGE(d))^4)/COUNT(d))/(SUMPRODUCT((d-AVERAGE(d))^2)/COUNT(d))^2-3</f>
        <v/>
      </c>
      <c r="E22" s="9" t="n">
        <v>0.1896</v>
      </c>
      <c r="F22" s="25">
        <f>D22-E22</f>
        <v/>
      </c>
      <c r="G22" s="12">
        <f>IF(ABS(F22)&lt;=0.0000500000,"да","НЕТ")</f>
        <v/>
      </c>
      <c r="H22" s="16" t="inlineStr">
        <is>
          <t>новое</t>
        </is>
      </c>
      <c r="J22" s="35">
        <f>Ряд!H23-Ряд!H22</f>
        <v/>
      </c>
      <c r="K22" s="35">
        <f>Ряд!H24-Ряд!H22</f>
        <v/>
      </c>
      <c r="L22" s="35">
        <f>Ряд!H25-Ряд!H22</f>
        <v/>
      </c>
      <c r="M22" s="35">
        <f>Ряд!H26-Ряд!H22</f>
        <v/>
      </c>
      <c r="N22" s="35">
        <f>Ряд!H28-Ряд!H22</f>
        <v/>
      </c>
    </row>
    <row r="23" ht="30" customHeight="1">
      <c r="A23" s="4" t="inlineStr">
        <is>
          <t>Жарк–Бера по приростам</t>
        </is>
      </c>
      <c r="B23" s="4" t="inlineStr">
        <is>
          <t>сводный тест нормальности: n/6 × (g1² + g2²/4)</t>
        </is>
      </c>
      <c r="C23" s="15" t="inlineStr">
        <is>
          <t>COUNT(d)/6*(D21^2+D22^2/4)</t>
        </is>
      </c>
      <c r="D23" s="24">
        <f>COUNT(d)/6*(D21^2+D22^2/4)</f>
        <v/>
      </c>
      <c r="E23" s="9" t="n">
        <v>2.7009</v>
      </c>
      <c r="F23" s="25">
        <f>D23-E23</f>
        <v/>
      </c>
      <c r="G23" s="12">
        <f>IF(ABS(F23)&lt;=0.0000500000,"да","НЕТ")</f>
        <v/>
      </c>
      <c r="H23" s="16" t="inlineStr">
        <is>
          <t>новое</t>
        </is>
      </c>
      <c r="J23" s="35">
        <f>Ряд!H24-Ряд!H23</f>
        <v/>
      </c>
      <c r="K23" s="35">
        <f>Ряд!H25-Ряд!H23</f>
        <v/>
      </c>
      <c r="L23" s="35">
        <f>Ряд!H26-Ряд!H23</f>
        <v/>
      </c>
      <c r="M23" s="35">
        <f>Ряд!H27-Ряд!H23</f>
        <v/>
      </c>
      <c r="N23" s="35">
        <f>Ряд!H29-Ряд!H23</f>
        <v/>
      </c>
    </row>
    <row r="24" ht="30" customHeight="1">
      <c r="A24" s="4" t="inlineStr">
        <is>
          <t>Критическое значение 5 %</t>
        </is>
      </c>
      <c r="B24" s="4" t="inlineStr">
        <is>
          <t>порог хи-квадрат с 2 степенями свободы; выше него нормальность отвергается</t>
        </is>
      </c>
      <c r="C24" s="15" t="inlineStr">
        <is>
          <t>5.991</t>
        </is>
      </c>
      <c r="D24" s="28">
        <f>5.991</f>
        <v/>
      </c>
      <c r="E24" s="29" t="n">
        <v>5.991</v>
      </c>
      <c r="F24" s="25">
        <f>D24-E24</f>
        <v/>
      </c>
      <c r="G24" s="12">
        <f>IF(ABS(F24)&lt;=0.0005000000,"да","НЕТ")</f>
        <v/>
      </c>
      <c r="H24" s="16" t="inlineStr">
        <is>
          <t>статистическая таблица</t>
        </is>
      </c>
      <c r="J24" s="35">
        <f>Ряд!H25-Ряд!H24</f>
        <v/>
      </c>
      <c r="K24" s="35">
        <f>Ряд!H26-Ряд!H24</f>
        <v/>
      </c>
      <c r="L24" s="35">
        <f>Ряд!H27-Ряд!H24</f>
        <v/>
      </c>
      <c r="M24" s="35">
        <f>Ряд!H28-Ряд!H24</f>
        <v/>
      </c>
      <c r="N24" s="35">
        <f>Ряд!H30-Ряд!H24</f>
        <v/>
      </c>
    </row>
    <row r="25" ht="30" customHeight="1">
      <c r="A25" s="4" t="inlineStr">
        <is>
          <t>Асимметрия 3-месячных изменений</t>
        </is>
      </c>
      <c r="B25" s="4" t="inlineStr">
        <is>
          <t>скошенность того, к чему буфер реально применяется</t>
        </is>
      </c>
      <c r="C25" s="15" t="inlineStr">
        <is>
          <t>(SUMPRODUCT(($L$5:$L$37-AVERAGE($L$5:$L$37))^3)/COUNT($L$5:$L$37))/(SUMPRODUCT(($L$5:$L$37-AVERAGE($L$5:$L$37))^2)/COUNT($L$5:$L$37))^1.5</t>
        </is>
      </c>
      <c r="D25" s="24">
        <f>(SUMPRODUCT(($L$5:$L$37-AVERAGE($L$5:$L$37))^3)/COUNT($L$5:$L$37))/(SUMPRODUCT(($L$5:$L$37-AVERAGE($L$5:$L$37))^2)/COUNT($L$5:$L$37))^1.5</f>
        <v/>
      </c>
      <c r="E25" s="9" t="n">
        <v>0.0448</v>
      </c>
      <c r="F25" s="25">
        <f>D25-E25</f>
        <v/>
      </c>
      <c r="G25" s="12">
        <f>IF(ABS(F25)&lt;=0.0000500000,"да","НЕТ")</f>
        <v/>
      </c>
      <c r="H25" s="16" t="inlineStr">
        <is>
          <t>новое</t>
        </is>
      </c>
      <c r="J25" s="35">
        <f>Ряд!H26-Ряд!H25</f>
        <v/>
      </c>
      <c r="K25" s="35">
        <f>Ряд!H27-Ряд!H25</f>
        <v/>
      </c>
      <c r="L25" s="35">
        <f>Ряд!H28-Ряд!H25</f>
        <v/>
      </c>
      <c r="M25" s="35">
        <f>Ряд!H29-Ряд!H25</f>
        <v/>
      </c>
      <c r="N25" s="35">
        <f>Ряд!H31-Ряд!H25</f>
        <v/>
      </c>
    </row>
    <row r="26" ht="30" customHeight="1">
      <c r="A26" s="4" t="inlineStr">
        <is>
          <t>Избыточный эксцесс 3-месячных изменений</t>
        </is>
      </c>
      <c r="B26" s="4" t="inlineStr">
        <is>
          <t>толщина хвостов трёхмесячной суммы</t>
        </is>
      </c>
      <c r="C26" s="15" t="inlineStr">
        <is>
          <t>(SUMPRODUCT(($L$5:$L$37-AVERAGE($L$5:$L$37))^4)/COUNT($L$5:$L$37))/(SUMPRODUCT(($L$5:$L$37-AVERAGE($L$5:$L$37))^2)/COUNT($L$5:$L$37))^2-3</t>
        </is>
      </c>
      <c r="D26" s="24">
        <f>(SUMPRODUCT(($L$5:$L$37-AVERAGE($L$5:$L$37))^4)/COUNT($L$5:$L$37))/(SUMPRODUCT(($L$5:$L$37-AVERAGE($L$5:$L$37))^2)/COUNT($L$5:$L$37))^2-3</f>
        <v/>
      </c>
      <c r="E26" s="9" t="n">
        <v>-0.4373</v>
      </c>
      <c r="F26" s="25">
        <f>D26-E26</f>
        <v/>
      </c>
      <c r="G26" s="12">
        <f>IF(ABS(F26)&lt;=0.0000500000,"да","НЕТ")</f>
        <v/>
      </c>
      <c r="H26" s="16" t="inlineStr">
        <is>
          <t>новое</t>
        </is>
      </c>
      <c r="J26" s="35">
        <f>Ряд!H27-Ряд!H26</f>
        <v/>
      </c>
      <c r="K26" s="35">
        <f>Ряд!H28-Ряд!H26</f>
        <v/>
      </c>
      <c r="L26" s="35">
        <f>Ряд!H29-Ряд!H26</f>
        <v/>
      </c>
      <c r="M26" s="35">
        <f>Ряд!H30-Ряд!H26</f>
        <v/>
      </c>
      <c r="N26" s="35">
        <f>Ряд!H32-Ряд!H26</f>
        <v/>
      </c>
    </row>
    <row r="27" ht="30" customHeight="1">
      <c r="A27" s="4" t="inlineStr">
        <is>
          <t>Жарк–Бера по 3-месячным изменениям</t>
        </is>
      </c>
      <c r="B27" s="4" t="inlineStr">
        <is>
          <t>тот же тест на трёхмесячной сумме</t>
        </is>
      </c>
      <c r="C27" s="15" t="inlineStr">
        <is>
          <t>COUNT($L$5:$L$37)/6*(D25^2+D26^2/4)</t>
        </is>
      </c>
      <c r="D27" s="24">
        <f>COUNT($L$5:$L$37)/6*(D25^2+D26^2/4)</f>
        <v/>
      </c>
      <c r="E27" s="9" t="n">
        <v>0.274</v>
      </c>
      <c r="F27" s="25">
        <f>D27-E27</f>
        <v/>
      </c>
      <c r="G27" s="12">
        <f>IF(ABS(F27)&lt;=0.0000500000,"да","НЕТ")</f>
        <v/>
      </c>
      <c r="H27" s="16" t="inlineStr">
        <is>
          <t>новое</t>
        </is>
      </c>
      <c r="J27" s="35">
        <f>Ряд!H28-Ряд!H27</f>
        <v/>
      </c>
      <c r="K27" s="35">
        <f>Ряд!H29-Ряд!H27</f>
        <v/>
      </c>
      <c r="L27" s="35">
        <f>Ряд!H30-Ряд!H27</f>
        <v/>
      </c>
      <c r="M27" s="35">
        <f>Ряд!H31-Ряд!H27</f>
        <v/>
      </c>
      <c r="N27" s="35">
        <f>Ряд!H33-Ряд!H27</f>
        <v/>
      </c>
    </row>
    <row r="28" ht="30" customHeight="1">
      <c r="A28" s="4" t="inlineStr">
        <is>
          <t>Что предсказывает ЦПТ</t>
        </is>
      </c>
      <c r="B28" s="4" t="inlineStr">
        <is>
          <t>асимметрия суммы трёх независимых = g1 / √3</t>
        </is>
      </c>
      <c r="C28" s="15" t="inlineStr">
        <is>
          <t>D21/SQRT(3)</t>
        </is>
      </c>
      <c r="D28" s="24">
        <f>D21/SQRT(3)</f>
        <v/>
      </c>
      <c r="E28" s="9" t="n">
        <v>0.389</v>
      </c>
      <c r="F28" s="25">
        <f>D28-E28</f>
        <v/>
      </c>
      <c r="G28" s="12">
        <f>IF(ABS(F28)&lt;=0.0000500000,"да","НЕТ")</f>
        <v/>
      </c>
      <c r="H28" s="16" t="inlineStr">
        <is>
          <t>новое</t>
        </is>
      </c>
      <c r="J28" s="35">
        <f>Ряд!H29-Ряд!H28</f>
        <v/>
      </c>
      <c r="K28" s="35">
        <f>Ряд!H30-Ряд!H28</f>
        <v/>
      </c>
      <c r="L28" s="35">
        <f>Ряд!H31-Ряд!H28</f>
        <v/>
      </c>
      <c r="M28" s="35">
        <f>Ряд!H32-Ряд!H28</f>
        <v/>
      </c>
      <c r="N28" s="35">
        <f>Ряд!H34-Ряд!H28</f>
        <v/>
      </c>
    </row>
    <row r="29" ht="58" customHeight="1">
      <c r="A29" s="2" t="inlineStr">
        <is>
          <t>Главный довод: буфер применяется не к приростам, а к их трёхмесячной СУММЕ. У приростов асимметрия 0,67 — заметная. У трёхмесячной суммы 0,04, то есть она исчезла, и даже быстрее, чем требовала ЦПТ (0,39). Жарк–Бера 2,70 против критических 5,99 — нормальность не отвергается даже на приростах. И третье: z(0,90) = 1,28 лежит в теле распределения, а не в хвосте; ошибки нормальности бьют на 99 % и 99,9 %, а не на 90 %.</t>
        </is>
      </c>
      <c r="J29" s="35">
        <f>Ряд!H30-Ряд!H29</f>
        <v/>
      </c>
      <c r="K29" s="35">
        <f>Ряд!H31-Ряд!H29</f>
        <v/>
      </c>
      <c r="L29" s="35">
        <f>Ряд!H32-Ряд!H29</f>
        <v/>
      </c>
      <c r="M29" s="35">
        <f>Ряд!H33-Ряд!H29</f>
        <v/>
      </c>
      <c r="N29" s="35">
        <f>Ряд!H35-Ряд!H29</f>
        <v/>
      </c>
    </row>
    <row r="30">
      <c r="A30" s="22" t="inlineStr">
        <is>
          <t>3. Буфер M(3) четырьмя независимыми способами</t>
        </is>
      </c>
      <c r="B30" s="23" t="n"/>
      <c r="C30" s="23" t="n"/>
      <c r="D30" s="23" t="n"/>
      <c r="E30" s="23" t="n"/>
      <c r="F30" s="23" t="n"/>
      <c r="G30" s="23" t="n"/>
      <c r="H30" s="23" t="n"/>
      <c r="J30" s="35">
        <f>Ряд!H31-Ряд!H30</f>
        <v/>
      </c>
      <c r="K30" s="35">
        <f>Ряд!H32-Ряд!H30</f>
        <v/>
      </c>
      <c r="L30" s="35">
        <f>Ряд!H33-Ряд!H30</f>
        <v/>
      </c>
      <c r="M30" s="35">
        <f>Ряд!H34-Ряд!H30</f>
        <v/>
      </c>
      <c r="N30" s="35">
        <f>Ряд!H36-Ряд!H30</f>
        <v/>
      </c>
    </row>
    <row r="31" ht="30" customHeight="1">
      <c r="A31" s="4" t="inlineStr">
        <is>
          <t>Нормальная модель z·σ_Δ·√3</t>
        </is>
      </c>
      <c r="B31" s="4" t="inlineStr">
        <is>
          <t>то, что стоит в расчёте</t>
        </is>
      </c>
      <c r="C31" s="15" t="inlineStr">
        <is>
          <t>z_p*'Расчёт'!D6*SQRT(3)</t>
        </is>
      </c>
      <c r="D31" s="24">
        <f>z_p*'Расчёт'!D6*SQRT(3)</f>
        <v/>
      </c>
      <c r="E31" s="9" t="n">
        <v>9.026999999999999</v>
      </c>
      <c r="F31" s="25">
        <f>D31-E31</f>
        <v/>
      </c>
      <c r="G31" s="12">
        <f>IF(ABS(F31)&lt;=0.0000500000,"да","НЕТ")</f>
        <v/>
      </c>
      <c r="H31" s="16" t="inlineStr">
        <is>
          <t>DISCLOSURE § 2.3</t>
        </is>
      </c>
      <c r="J31" s="35">
        <f>Ряд!H32-Ряд!H31</f>
        <v/>
      </c>
      <c r="K31" s="35">
        <f>Ряд!H33-Ряд!H31</f>
        <v/>
      </c>
      <c r="L31" s="35">
        <f>Ряд!H34-Ряд!H31</f>
        <v/>
      </c>
      <c r="M31" s="35">
        <f>Ряд!H35-Ряд!H31</f>
        <v/>
      </c>
      <c r="N31" s="35">
        <f>Ряд!H37-Ряд!H31</f>
        <v/>
      </c>
    </row>
    <row r="32" ht="30" customHeight="1">
      <c r="A32" s="4" t="inlineStr">
        <is>
          <t>Эмпирический 90-й процентиль</t>
        </is>
      </c>
      <c r="B32" s="4" t="inlineStr">
        <is>
          <t>90 % реальных 3-месячных изменений не превысили эту величину</t>
        </is>
      </c>
      <c r="C32" s="15" t="inlineStr">
        <is>
          <t>PERCENTILE($L$5:$L$37,p_conf)</t>
        </is>
      </c>
      <c r="D32" s="24">
        <f>PERCENTILE($L$5:$L$37,p_conf)</f>
        <v/>
      </c>
      <c r="E32" s="9" t="n">
        <v>9.2887</v>
      </c>
      <c r="F32" s="25">
        <f>D32-E32</f>
        <v/>
      </c>
      <c r="G32" s="12">
        <f>IF(ABS(F32)&lt;=0.0000500000,"да","НЕТ")</f>
        <v/>
      </c>
      <c r="H32" s="16" t="inlineStr">
        <is>
          <t>новое</t>
        </is>
      </c>
      <c r="J32" s="35">
        <f>Ряд!H33-Ряд!H32</f>
        <v/>
      </c>
      <c r="K32" s="35">
        <f>Ряд!H34-Ряд!H32</f>
        <v/>
      </c>
      <c r="L32" s="35">
        <f>Ряд!H35-Ряд!H32</f>
        <v/>
      </c>
      <c r="M32" s="35">
        <f>Ряд!H36-Ряд!H32</f>
        <v/>
      </c>
      <c r="N32" s="35">
        <f>Ряд!H38-Ряд!H32</f>
        <v/>
      </c>
    </row>
    <row r="33" ht="30" customHeight="1">
      <c r="A33" s="4" t="inlineStr">
        <is>
          <t>Корниш–Фишер</t>
        </is>
      </c>
      <c r="B33" s="4" t="inlineStr">
        <is>
          <t>нормальный квантиль с поправкой на асимметрию и эксцесс суммы</t>
        </is>
      </c>
      <c r="C33" s="15" t="inlineStr">
        <is>
          <t>(z_p+(z_p^2-1)/6*D21/SQRT(3)+(z_p^3-3*z_p)/24*D22/3-(2*z_p^3-5*z_p)/36*(D21/SQRT(3))^2)*'Расчёт'!D6*SQRT(3)</t>
        </is>
      </c>
      <c r="D33" s="24">
        <f>(z_p+(z_p^2-1)/6*D21/SQRT(3)+(z_p^3-3*z_p)/24*D22/3-(2*z_p^3-5*z_p)/36*(D21/SQRT(3))^2)*'Расчёт'!D6*SQRT(3)</f>
        <v/>
      </c>
      <c r="E33" s="9" t="n">
        <v>9.353199999999999</v>
      </c>
      <c r="F33" s="25">
        <f>D33-E33</f>
        <v/>
      </c>
      <c r="G33" s="12">
        <f>IF(ABS(F33)&lt;=0.0000500000,"да","НЕТ")</f>
        <v/>
      </c>
      <c r="H33" s="16" t="inlineStr">
        <is>
          <t>новое</t>
        </is>
      </c>
      <c r="J33" s="35">
        <f>Ряд!H34-Ряд!H33</f>
        <v/>
      </c>
      <c r="K33" s="35">
        <f>Ряд!H35-Ряд!H33</f>
        <v/>
      </c>
      <c r="L33" s="35">
        <f>Ряд!H36-Ряд!H33</f>
        <v/>
      </c>
      <c r="M33" s="35">
        <f>Ряд!H37-Ряд!H33</f>
        <v/>
      </c>
      <c r="N33" s="35">
        <f>Ряд!H39-Ряд!H33</f>
        <v/>
      </c>
    </row>
    <row r="34" ht="30" customHeight="1">
      <c r="A34" s="4" t="inlineStr">
        <is>
          <t>Разброс трёх способов, %</t>
        </is>
      </c>
      <c r="B34" s="4" t="inlineStr">
        <is>
          <t>насколько максимальный ответ выше минимального</t>
        </is>
      </c>
      <c r="C34" s="15" t="inlineStr">
        <is>
          <t>MAX(D31,D32,D33)/MIN(D31,D32,D33)*100-100</t>
        </is>
      </c>
      <c r="D34" s="24">
        <f>MAX(D31,D32,D33)/MIN(D31,D32,D33)*100-100</f>
        <v/>
      </c>
      <c r="E34" s="9" t="n">
        <v>3.6137</v>
      </c>
      <c r="F34" s="25">
        <f>D34-E34</f>
        <v/>
      </c>
      <c r="G34" s="12">
        <f>IF(ABS(F34)&lt;=0.0000500000,"да","НЕТ")</f>
        <v/>
      </c>
      <c r="H34" s="16" t="inlineStr">
        <is>
          <t>новое</t>
        </is>
      </c>
      <c r="J34" s="35">
        <f>Ряд!H35-Ряд!H34</f>
        <v/>
      </c>
      <c r="K34" s="35">
        <f>Ряд!H36-Ряд!H34</f>
        <v/>
      </c>
      <c r="L34" s="35">
        <f>Ряд!H37-Ряд!H34</f>
        <v/>
      </c>
      <c r="M34" s="35">
        <f>Ряд!H38-Ряд!H34</f>
        <v/>
      </c>
      <c r="N34" s="35">
        <f>Ряд!H40-Ряд!H34</f>
        <v/>
      </c>
    </row>
    <row r="35" ht="30" customHeight="1">
      <c r="A35" s="4" t="inlineStr">
        <is>
          <t>Стандартная ошибка самой σ_Δ</t>
        </is>
      </c>
      <c r="B35" s="4" t="inlineStr">
        <is>
          <t>точность оценки σ по 35 наблюдениям: σ / √(2(n−1))</t>
        </is>
      </c>
      <c r="C35" s="15" t="inlineStr">
        <is>
          <t>'Расчёт'!D6/SQRT(2*(COUNT(d)-1))</t>
        </is>
      </c>
      <c r="D35" s="24">
        <f>'Расчёт'!D6/SQRT(2*(COUNT(d)-1))</f>
        <v/>
      </c>
      <c r="E35" s="9" t="n">
        <v>0.4932</v>
      </c>
      <c r="F35" s="25">
        <f>D35-E35</f>
        <v/>
      </c>
      <c r="G35" s="12">
        <f>IF(ABS(F35)&lt;=0.0000500000,"да","НЕТ")</f>
        <v/>
      </c>
      <c r="H35" s="16" t="inlineStr">
        <is>
          <t>новое</t>
        </is>
      </c>
      <c r="J35" s="35">
        <f>Ряд!H36-Ряд!H35</f>
        <v/>
      </c>
      <c r="K35" s="35">
        <f>Ряд!H37-Ряд!H35</f>
        <v/>
      </c>
      <c r="L35" s="35">
        <f>Ряд!H38-Ряд!H35</f>
        <v/>
      </c>
      <c r="M35" s="35">
        <f>Ряд!H39-Ряд!H35</f>
        <v/>
      </c>
    </row>
    <row r="36" ht="30" customHeight="1">
      <c r="A36" s="4" t="inlineStr">
        <is>
          <t>Она же в единицах M(3)</t>
        </is>
      </c>
      <c r="B36" s="4" t="inlineStr">
        <is>
          <t>z · SE(σ) · √3 — неопределённость буфера</t>
        </is>
      </c>
      <c r="C36" s="15" t="inlineStr">
        <is>
          <t>z_p*D35*SQRT(3)</t>
        </is>
      </c>
      <c r="D36" s="24">
        <f>z_p*D35*SQRT(3)</f>
        <v/>
      </c>
      <c r="E36" s="9" t="n">
        <v>1.0947</v>
      </c>
      <c r="F36" s="25">
        <f>D36-E36</f>
        <v/>
      </c>
      <c r="G36" s="12">
        <f>IF(ABS(F36)&lt;=0.0000500000,"да","НЕТ")</f>
        <v/>
      </c>
      <c r="H36" s="16" t="inlineStr">
        <is>
          <t>новое</t>
        </is>
      </c>
      <c r="J36" s="35">
        <f>Ряд!H37-Ряд!H36</f>
        <v/>
      </c>
      <c r="K36" s="35">
        <f>Ряд!H38-Ряд!H36</f>
        <v/>
      </c>
      <c r="L36" s="35">
        <f>Ряд!H39-Ряд!H36</f>
        <v/>
      </c>
      <c r="M36" s="35">
        <f>Ряд!H40-Ряд!H36</f>
        <v/>
      </c>
    </row>
    <row r="37" ht="58" customHeight="1">
      <c r="A37" s="2" t="inlineStr">
        <is>
          <t>Все три непараметрических способа дают буфер ВЫШЕ нормальной модели, разброс 3,6 %. Направление систематическое: нормальная модель тонковата примерно на 0,33 пп. Поправка сознательно не вносится — собственная погрешность σ_Δ равна ±1,09 пп, то есть втрое больше смещения. Но записано это должно быть явно: ровно за молчание о выборе σ мы критикуем метод B в Р-Д1. Четвёртый способ — бутстрап 200 тыс. сумм трёх случайно взятых приростов — даёт 9,3688; в Excel без макросов он не воспроизводится и потому в таблицу не вынесен.</t>
        </is>
      </c>
      <c r="J37" s="35">
        <f>Ряд!H38-Ряд!H37</f>
        <v/>
      </c>
      <c r="K37" s="35">
        <f>Ряд!H39-Ряд!H37</f>
        <v/>
      </c>
      <c r="L37" s="35">
        <f>Ряд!H40-Ряд!H37</f>
        <v/>
      </c>
    </row>
    <row r="38">
      <c r="A38" s="22" t="inlineStr">
        <is>
          <t>4. Дрейф</t>
        </is>
      </c>
      <c r="B38" s="23" t="n"/>
      <c r="C38" s="23" t="n"/>
      <c r="D38" s="23" t="n"/>
      <c r="E38" s="23" t="n"/>
      <c r="F38" s="23" t="n"/>
      <c r="G38" s="23" t="n"/>
      <c r="H38" s="23" t="n"/>
      <c r="J38" s="35">
        <f>Ряд!H39-Ряд!H38</f>
        <v/>
      </c>
      <c r="K38" s="35">
        <f>Ряд!H40-Ряд!H38</f>
        <v/>
      </c>
    </row>
    <row r="39" ht="30" customHeight="1">
      <c r="A39" s="4" t="inlineStr">
        <is>
          <t>Средний прирост за месяц</t>
        </is>
      </c>
      <c r="B39" s="4" t="inlineStr">
        <is>
          <t>есть ли систематический снос ряда вверх</t>
        </is>
      </c>
      <c r="C39" s="15" t="inlineStr">
        <is>
          <t>AVERAGE(d)</t>
        </is>
      </c>
      <c r="D39" s="24">
        <f>AVERAGE(d)</f>
        <v/>
      </c>
      <c r="E39" s="9" t="n">
        <v>0.0321</v>
      </c>
      <c r="F39" s="25">
        <f>D39-E39</f>
        <v/>
      </c>
      <c r="G39" s="12">
        <f>IF(ABS(F39)&lt;=0.0000500000,"да","НЕТ")</f>
        <v/>
      </c>
      <c r="H39" s="16" t="inlineStr">
        <is>
          <t>новое</t>
        </is>
      </c>
      <c r="J39" s="35">
        <f>Ряд!H40-Ряд!H39</f>
        <v/>
      </c>
    </row>
    <row r="40" ht="30" customHeight="1">
      <c r="A40" s="4" t="inlineStr">
        <is>
          <t>Дрейф за 3 месяца</t>
        </is>
      </c>
      <c r="B40" s="4" t="inlineStr">
        <is>
          <t>во что он превращается на горизонте буфера</t>
        </is>
      </c>
      <c r="C40" s="15" t="inlineStr">
        <is>
          <t>AVERAGE(d)*3</t>
        </is>
      </c>
      <c r="D40" s="24">
        <f>AVERAGE(d)*3</f>
        <v/>
      </c>
      <c r="E40" s="9" t="n">
        <v>0.0964</v>
      </c>
      <c r="F40" s="25">
        <f>D40-E40</f>
        <v/>
      </c>
      <c r="G40" s="12">
        <f>IF(ABS(F40)&lt;=0.0000500000,"да","НЕТ")</f>
        <v/>
      </c>
      <c r="H40" s="16" t="inlineStr">
        <is>
          <t>новое</t>
        </is>
      </c>
    </row>
    <row r="41" ht="30" customHeight="1">
      <c r="A41" s="2" t="inlineStr">
        <is>
          <t>0,10 пп против буфера 9,03 — меньше 1 %. Допущение нулевого дрейфа безвредно, слагаемое μ·T в формулу не добавляется.</t>
        </is>
      </c>
    </row>
    <row r="43" ht="32" customHeight="1">
      <c r="A43" s="30" t="inlineStr">
        <is>
          <t>Строк не сошлось</t>
        </is>
      </c>
      <c r="B43" s="31">
        <f>COUNTIF(G6:G40,"НЕТ")</f>
        <v/>
      </c>
      <c r="C43" s="32" t="inlineStr">
        <is>
          <t>Ноль означает: все опубликованные числа воспроизводятся формулами этой книги. Это не означает, что формулы верны по существу — воспроизводимость и правильность разные вещи.</t>
        </is>
      </c>
      <c r="D43" s="33" t="n"/>
      <c r="E43" s="33" t="n"/>
      <c r="F43" s="33" t="n"/>
      <c r="G43" s="33" t="n"/>
      <c r="H43" s="34" t="n"/>
    </row>
  </sheetData>
  <mergeCells count="7">
    <mergeCell ref="A29:H29"/>
    <mergeCell ref="A2:H2"/>
    <mergeCell ref="A41:H41"/>
    <mergeCell ref="A19:H19"/>
    <mergeCell ref="C43:H43"/>
    <mergeCell ref="A37:H37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13" customWidth="1" min="4" max="4"/>
    <col width="13" customWidth="1" min="5" max="5"/>
    <col width="11" customWidth="1" min="6" max="6"/>
    <col width="54" customWidth="1" min="7" max="7"/>
  </cols>
  <sheetData>
    <row r="1">
      <c r="A1" s="1" t="inlineStr">
        <is>
          <t>Зоны: зелёная, жёлтая, красная</t>
        </is>
      </c>
    </row>
    <row r="2" ht="30" customHeight="1">
      <c r="A2" s="2" t="inlineStr">
        <is>
          <t>Границы зон — не подобранные числа, а одна и та же формула L − M(T) при разном T. Поэтому зона читается как ОСТАТОК ВРЕМЕНИ до лимита, а не как цвет.</t>
        </is>
      </c>
    </row>
    <row r="4" ht="30" customHeight="1">
      <c r="A4" s="5" t="inlineStr">
        <is>
          <t>Зона</t>
        </is>
      </c>
      <c r="B4" s="5" t="inlineStr">
        <is>
          <t>Что означает</t>
        </is>
      </c>
      <c r="C4" s="5" t="inlineStr">
        <is>
          <t>Нижняя граница</t>
        </is>
      </c>
      <c r="D4" s="5" t="inlineStr">
        <is>
          <t>Верхняя граница</t>
        </is>
      </c>
      <c r="E4" s="5" t="inlineStr">
        <is>
          <t>Наблюдений</t>
        </is>
      </c>
      <c r="F4" s="5" t="inlineStr">
        <is>
          <t>Доля, %</t>
        </is>
      </c>
      <c r="G4" s="5" t="inlineStr">
        <is>
          <t>Что делает</t>
        </is>
      </c>
    </row>
    <row r="5" ht="46" customHeight="1">
      <c r="A5" s="36" t="inlineStr">
        <is>
          <t>Зелёная</t>
        </is>
      </c>
      <c r="B5" s="37" t="inlineStr">
        <is>
          <t>больше трёх месяцев запаса</t>
        </is>
      </c>
      <c r="C5" s="38" t="inlineStr">
        <is>
          <t>—</t>
        </is>
      </c>
      <c r="D5" s="38">
        <f>'Расчёт'!D24</f>
        <v/>
      </c>
      <c r="E5" s="39">
        <f>COUNTIF(v,"&lt;"&amp;'Расчёт'!D24)</f>
        <v/>
      </c>
      <c r="F5" s="40">
        <f>E5/COUNT(v)*100</f>
        <v/>
      </c>
      <c r="G5" s="41" t="inlineStr">
        <is>
          <t>Штатное наблюдение: ежемесячный отчёт, без отдельных действий</t>
        </is>
      </c>
    </row>
    <row r="6" ht="46" customHeight="1">
      <c r="A6" s="42" t="inlineStr">
        <is>
          <t>Жёлтая</t>
        </is>
      </c>
      <c r="B6" s="43" t="inlineStr">
        <is>
          <t>от одного до трёх месяцев</t>
        </is>
      </c>
      <c r="C6" s="44">
        <f>'Расчёт'!D24</f>
        <v/>
      </c>
      <c r="D6" s="44">
        <f>'Расчёт'!D16</f>
        <v/>
      </c>
      <c r="E6" s="45">
        <f>COUNTIFS(v,"&gt;="&amp;'Расчёт'!D24,v,"&lt;"&amp;'Расчёт'!D16)</f>
        <v/>
      </c>
      <c r="F6" s="46">
        <f>E6/COUNT(v)*100</f>
        <v/>
      </c>
      <c r="G6" s="47" t="inlineStr">
        <is>
          <t>Ускоренное наблюдение и заранее согласованные меры. Времени на решение ещё хватает — в этом весь смысл границы</t>
        </is>
      </c>
    </row>
    <row r="7" ht="46" customHeight="1">
      <c r="A7" s="48" t="inlineStr">
        <is>
          <t>Красная</t>
        </is>
      </c>
      <c r="B7" s="49" t="inlineStr">
        <is>
          <t>меньше месяца либо пробой</t>
        </is>
      </c>
      <c r="C7" s="50">
        <f>'Расчёт'!D16</f>
        <v/>
      </c>
      <c r="D7" s="50" t="inlineStr">
        <is>
          <t>—</t>
        </is>
      </c>
      <c r="E7" s="51">
        <f>COUNTIF(v,"&gt;="&amp;'Расчёт'!D16)</f>
        <v/>
      </c>
      <c r="F7" s="52">
        <f>E7/COUNT(v)*100</f>
        <v/>
      </c>
      <c r="G7" s="53" t="inlineStr">
        <is>
          <t>Эскалация на уполномоченный орган. Граница стоит НИЖЕ лимита сознательно: красная лампа, загорающаяся в момент пробоя, не предупреждает, а протоколирует</t>
        </is>
      </c>
    </row>
    <row r="8" ht="30" customHeight="1">
      <c r="A8" s="30" t="inlineStr">
        <is>
          <t>Всего</t>
        </is>
      </c>
      <c r="B8" s="54" t="n"/>
      <c r="C8" s="54" t="n"/>
      <c r="D8" s="54" t="n"/>
      <c r="E8" s="55">
        <f>SUM(E5:E7)</f>
        <v/>
      </c>
      <c r="F8" s="56">
        <f>E8/COUNT(v)*100</f>
        <v/>
      </c>
      <c r="G8" s="32" t="inlineStr">
        <is>
          <t>Должно быть 36 и 100,0 % — иначе границы зон не покрывают ряд целиком либо перекрываются.</t>
        </is>
      </c>
    </row>
    <row r="10">
      <c r="A10" s="57" t="inlineStr">
        <is>
          <t>Где мы сейчас</t>
        </is>
      </c>
    </row>
    <row r="11">
      <c r="A11" s="6" t="inlineStr">
        <is>
          <t>Текущая точка, 01.07.2026</t>
        </is>
      </c>
      <c r="B11" s="24">
        <f>'Расчёт'!D8</f>
        <v/>
      </c>
      <c r="C11" s="58" t="n">
        <v>101.5041</v>
      </c>
      <c r="D11" s="59" t="inlineStr">
        <is>
          <t>опубликовано</t>
        </is>
      </c>
    </row>
    <row r="12">
      <c r="A12" s="6" t="inlineStr">
        <is>
          <t>Граница жёлтой (3 мес.)</t>
        </is>
      </c>
      <c r="B12" s="24">
        <f>'Расчёт'!D24</f>
        <v/>
      </c>
      <c r="C12" s="58" t="n">
        <v>99.60339999999999</v>
      </c>
      <c r="D12" s="59" t="inlineStr">
        <is>
          <t>опубликовано</t>
        </is>
      </c>
    </row>
    <row r="13">
      <c r="A13" s="6" t="inlineStr">
        <is>
          <t>Граница красной (1 мес.)</t>
        </is>
      </c>
      <c r="B13" s="24">
        <f>'Расчёт'!D16</f>
        <v/>
      </c>
      <c r="C13" s="58" t="n">
        <v>103.4187</v>
      </c>
      <c r="D13" s="59" t="inlineStr">
        <is>
          <t>опубликовано</t>
        </is>
      </c>
    </row>
    <row r="14">
      <c r="A14" s="6" t="inlineStr">
        <is>
          <t>Лимит</t>
        </is>
      </c>
      <c r="B14" s="24">
        <f>'Расчёт'!D12</f>
        <v/>
      </c>
      <c r="C14" s="58" t="n">
        <v>108.6304</v>
      </c>
      <c r="D14" s="59" t="inlineStr">
        <is>
          <t>опубликовано</t>
        </is>
      </c>
    </row>
    <row r="15">
      <c r="A15" s="6" t="inlineStr">
        <is>
          <t>До лимита, пп</t>
        </is>
      </c>
      <c r="B15" s="24">
        <f>'Расчёт'!D12-'Расчёт'!D8</f>
        <v/>
      </c>
      <c r="C15" s="58" t="n">
        <v>7.1263</v>
      </c>
      <c r="D15" s="59" t="inlineStr">
        <is>
          <t>опубликовано</t>
        </is>
      </c>
    </row>
    <row r="16">
      <c r="A16" s="6" t="inlineStr">
        <is>
          <t>T* — остаток времени, мес.</t>
        </is>
      </c>
      <c r="B16" s="24">
        <f>'Расчёт'!D44</f>
        <v/>
      </c>
      <c r="C16" s="58" t="n">
        <v>1.8697</v>
      </c>
      <c r="D16" s="59" t="inlineStr">
        <is>
          <t>опубликовано</t>
        </is>
      </c>
    </row>
    <row r="17">
      <c r="A17" s="6" t="inlineStr">
        <is>
          <t>Зона текущей точки</t>
        </is>
      </c>
      <c r="B17" s="42">
        <f>IF('Расчёт'!D8&gt;='Расчёт'!D12,"ПРОБОЙ",IF('Расчёт'!D8&gt;='Расчёт'!D16,"КРАСНАЯ",IF('Расчёт'!D8&gt;='Расчёт'!D24,"ЖЁЛТАЯ","ЗЕЛЁНАЯ")))</f>
        <v/>
      </c>
    </row>
    <row r="19" ht="30" customHeight="1">
      <c r="A19" s="21" t="inlineStr">
        <is>
          <t>Красная зона по этой разметке за 36 месяцев загоралась один раз — 01.2024. Пробоев не было ни разу, поэтому метод G (калибровка по историческим превышениям) на этом ряде неприменим: калибровать не на чем.</t>
        </is>
      </c>
    </row>
    <row r="20" ht="48" customHeight="1">
      <c r="A20" s="21" t="inlineStr">
        <is>
          <t>ОТКРЫТЫЙ ВОПРОС. Стратегия риск-аппетита, п. 26, задаёт «три предела уровня рисков». Разметка выше содержит три зоны и потому с ним совместима — но п. 26 у нас процитирован по карте документов и ДОСЛОВНО НЕ РАЗОБРАН. Пока он не прочитан, эти три зоны являются нашим предложением, а не соответствием ВНД, и заявлять обратное на комитете нельзя.</t>
        </is>
      </c>
    </row>
  </sheetData>
  <mergeCells count="3">
    <mergeCell ref="A20:G20"/>
    <mergeCell ref="A19:G19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3" customWidth="1" min="4" max="4"/>
    <col width="58" customWidth="1" min="5" max="5"/>
  </cols>
  <sheetData>
    <row r="1">
      <c r="A1" s="1" t="inlineStr">
        <is>
          <t>Две σ в одной таблице методов — и они про разное</t>
        </is>
      </c>
    </row>
    <row r="2" ht="30" customHeight="1">
      <c r="A2" s="2" t="inlineStr">
        <is>
          <t>Остаток находки Р-Д1. Третья σ принадлежала методу B, который из книги убран: он не защищается на комитете. В DISCLOSURE.md Р-Д1 остаётся целиком — там он про чужую опубликованную таблицу, а не про нашу книгу.</t>
        </is>
      </c>
    </row>
    <row r="4">
      <c r="A4" s="13" t="inlineStr">
        <is>
          <t>Методы</t>
        </is>
      </c>
      <c r="B4" s="13" t="inlineStr">
        <is>
          <t>Какая σ</t>
        </is>
      </c>
      <c r="C4" s="13" t="inlineStr">
        <is>
          <t>Значение</t>
        </is>
      </c>
      <c r="D4" s="13" t="inlineStr">
        <is>
          <t>К σ_Δ</t>
        </is>
      </c>
      <c r="E4" s="13" t="inlineStr">
        <is>
          <t>Что из этого следует</t>
        </is>
      </c>
    </row>
    <row r="5" ht="46" customHeight="1">
      <c r="A5" s="60" t="inlineStr">
        <is>
          <t>D, H</t>
        </is>
      </c>
      <c r="B5" s="4" t="inlineStr">
        <is>
          <t>выборочное с.к.о. приростов, все 35</t>
        </is>
      </c>
      <c r="C5" s="24">
        <f>'Расчёт'!D6</f>
        <v/>
      </c>
      <c r="D5" s="61">
        <f>C5/'Расчёт'!D6</f>
        <v/>
      </c>
      <c r="E5" s="16" t="inlineStr">
        <is>
          <t>Базовая. На ней стоят запас M(T), расстояние D и T*</t>
        </is>
      </c>
    </row>
    <row r="6" ht="46" customHeight="1">
      <c r="A6" s="60" t="inlineStr">
        <is>
          <t>М1</t>
        </is>
      </c>
      <c r="B6" s="4" t="inlineStr">
        <is>
          <t>выборочное с.к.о. самих уровней, не приростов</t>
        </is>
      </c>
      <c r="C6" s="24">
        <f>'Расчёт'!D7</f>
        <v/>
      </c>
      <c r="D6" s="61">
        <f>C6/'Расчёт'!D6</f>
        <v/>
      </c>
      <c r="E6" s="16" t="inlineStr">
        <is>
          <t>Мера разброса уровня за три года, а не месячного хода. С первой несопоставима в принципе: одна про то, где ряд стоял, другая про то, как быстро он движется</t>
        </is>
      </c>
    </row>
    <row r="8" ht="44" customHeight="1">
      <c r="A8" s="21" t="inlineStr">
        <is>
          <t>Правило, которое из этого остаётся: σ называется прямо в строке метода. Метод, защищаемый в собственных терминах, несравним с методом, защищаемым в своих, — и разница в 53 % между этими двумя σ тому иллюстрация.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Триггеры на движение: ΔСК ≤ −3 % или ΔЗайм ≥ +5 % за месяц</t>
        </is>
      </c>
    </row>
    <row r="2" ht="30" customHeight="1">
      <c r="A2" s="2" t="inlineStr">
        <is>
          <t>Срабатывают независимо от зоны. Все 35 приростов показаны целиком — выборка из шести строк недоказуема: по ней не видно, что остальные 29 условию не отвечают.</t>
        </is>
      </c>
    </row>
    <row r="4">
      <c r="A4" s="13" t="inlineStr">
        <is>
          <t>Дата</t>
        </is>
      </c>
      <c r="B4" s="13" t="inlineStr">
        <is>
          <t>ΔСК, %</t>
        </is>
      </c>
      <c r="C4" s="13" t="inlineStr">
        <is>
          <t>ΔЗайм, %</t>
        </is>
      </c>
      <c r="D4" s="13" t="inlineStr">
        <is>
          <t>Коэффициент</t>
        </is>
      </c>
      <c r="E4" s="13" t="inlineStr">
        <is>
          <t>Что сработало</t>
        </is>
      </c>
    </row>
    <row r="5">
      <c r="A5" s="6">
        <f>'Ряд'!A6</f>
        <v/>
      </c>
      <c r="B5" s="11">
        <f>'Ряд'!K6</f>
        <v/>
      </c>
      <c r="C5" s="11">
        <f>'Ряд'!L6</f>
        <v/>
      </c>
      <c r="D5" s="11">
        <f>'Ряд'!H6</f>
        <v/>
      </c>
      <c r="E5" s="12">
        <f>'Ряд'!M6</f>
        <v/>
      </c>
    </row>
    <row r="6">
      <c r="A6" s="6">
        <f>'Ряд'!A7</f>
        <v/>
      </c>
      <c r="B6" s="11">
        <f>'Ряд'!K7</f>
        <v/>
      </c>
      <c r="C6" s="11">
        <f>'Ряд'!L7</f>
        <v/>
      </c>
      <c r="D6" s="11">
        <f>'Ряд'!H7</f>
        <v/>
      </c>
      <c r="E6" s="12">
        <f>'Ряд'!M7</f>
        <v/>
      </c>
    </row>
    <row r="7">
      <c r="A7" s="6">
        <f>'Ряд'!A8</f>
        <v/>
      </c>
      <c r="B7" s="11">
        <f>'Ряд'!K8</f>
        <v/>
      </c>
      <c r="C7" s="11">
        <f>'Ряд'!L8</f>
        <v/>
      </c>
      <c r="D7" s="11">
        <f>'Ряд'!H8</f>
        <v/>
      </c>
      <c r="E7" s="12">
        <f>'Ряд'!M8</f>
        <v/>
      </c>
    </row>
    <row r="8">
      <c r="A8" s="6">
        <f>'Ряд'!A9</f>
        <v/>
      </c>
      <c r="B8" s="11">
        <f>'Ряд'!K9</f>
        <v/>
      </c>
      <c r="C8" s="11">
        <f>'Ряд'!L9</f>
        <v/>
      </c>
      <c r="D8" s="11">
        <f>'Ряд'!H9</f>
        <v/>
      </c>
      <c r="E8" s="12">
        <f>'Ряд'!M9</f>
        <v/>
      </c>
    </row>
    <row r="9">
      <c r="A9" s="6">
        <f>'Ряд'!A10</f>
        <v/>
      </c>
      <c r="B9" s="11">
        <f>'Ряд'!K10</f>
        <v/>
      </c>
      <c r="C9" s="11">
        <f>'Ряд'!L10</f>
        <v/>
      </c>
      <c r="D9" s="11">
        <f>'Ряд'!H10</f>
        <v/>
      </c>
      <c r="E9" s="12">
        <f>'Ряд'!M10</f>
        <v/>
      </c>
    </row>
    <row r="10">
      <c r="A10" s="6">
        <f>'Ряд'!A11</f>
        <v/>
      </c>
      <c r="B10" s="11">
        <f>'Ряд'!K11</f>
        <v/>
      </c>
      <c r="C10" s="11">
        <f>'Ряд'!L11</f>
        <v/>
      </c>
      <c r="D10" s="11">
        <f>'Ряд'!H11</f>
        <v/>
      </c>
      <c r="E10" s="12">
        <f>'Ряд'!M11</f>
        <v/>
      </c>
    </row>
    <row r="11">
      <c r="A11" s="6">
        <f>'Ряд'!A12</f>
        <v/>
      </c>
      <c r="B11" s="11">
        <f>'Ряд'!K12</f>
        <v/>
      </c>
      <c r="C11" s="11">
        <f>'Ряд'!L12</f>
        <v/>
      </c>
      <c r="D11" s="11">
        <f>'Ряд'!H12</f>
        <v/>
      </c>
      <c r="E11" s="12">
        <f>'Ряд'!M12</f>
        <v/>
      </c>
    </row>
    <row r="12">
      <c r="A12" s="6">
        <f>'Ряд'!A13</f>
        <v/>
      </c>
      <c r="B12" s="11">
        <f>'Ряд'!K13</f>
        <v/>
      </c>
      <c r="C12" s="11">
        <f>'Ряд'!L13</f>
        <v/>
      </c>
      <c r="D12" s="11">
        <f>'Ряд'!H13</f>
        <v/>
      </c>
      <c r="E12" s="12">
        <f>'Ряд'!M13</f>
        <v/>
      </c>
    </row>
    <row r="13">
      <c r="A13" s="6">
        <f>'Ряд'!A14</f>
        <v/>
      </c>
      <c r="B13" s="11">
        <f>'Ряд'!K14</f>
        <v/>
      </c>
      <c r="C13" s="11">
        <f>'Ряд'!L14</f>
        <v/>
      </c>
      <c r="D13" s="11">
        <f>'Ряд'!H14</f>
        <v/>
      </c>
      <c r="E13" s="12">
        <f>'Ряд'!M14</f>
        <v/>
      </c>
    </row>
    <row r="14">
      <c r="A14" s="6">
        <f>'Ряд'!A15</f>
        <v/>
      </c>
      <c r="B14" s="11">
        <f>'Ряд'!K15</f>
        <v/>
      </c>
      <c r="C14" s="11">
        <f>'Ряд'!L15</f>
        <v/>
      </c>
      <c r="D14" s="11">
        <f>'Ряд'!H15</f>
        <v/>
      </c>
      <c r="E14" s="12">
        <f>'Ряд'!M15</f>
        <v/>
      </c>
    </row>
    <row r="15">
      <c r="A15" s="6">
        <f>'Ряд'!A16</f>
        <v/>
      </c>
      <c r="B15" s="11">
        <f>'Ряд'!K16</f>
        <v/>
      </c>
      <c r="C15" s="11">
        <f>'Ряд'!L16</f>
        <v/>
      </c>
      <c r="D15" s="11">
        <f>'Ряд'!H16</f>
        <v/>
      </c>
      <c r="E15" s="12">
        <f>'Ряд'!M16</f>
        <v/>
      </c>
    </row>
    <row r="16">
      <c r="A16" s="6">
        <f>'Ряд'!A17</f>
        <v/>
      </c>
      <c r="B16" s="11">
        <f>'Ряд'!K17</f>
        <v/>
      </c>
      <c r="C16" s="11">
        <f>'Ряд'!L17</f>
        <v/>
      </c>
      <c r="D16" s="11">
        <f>'Ряд'!H17</f>
        <v/>
      </c>
      <c r="E16" s="12">
        <f>'Ряд'!M17</f>
        <v/>
      </c>
    </row>
    <row r="17">
      <c r="A17" s="6">
        <f>'Ряд'!A18</f>
        <v/>
      </c>
      <c r="B17" s="11">
        <f>'Ряд'!K18</f>
        <v/>
      </c>
      <c r="C17" s="11">
        <f>'Ряд'!L18</f>
        <v/>
      </c>
      <c r="D17" s="11">
        <f>'Ряд'!H18</f>
        <v/>
      </c>
      <c r="E17" s="12">
        <f>'Ряд'!M18</f>
        <v/>
      </c>
    </row>
    <row r="18">
      <c r="A18" s="6">
        <f>'Ряд'!A19</f>
        <v/>
      </c>
      <c r="B18" s="11">
        <f>'Ряд'!K19</f>
        <v/>
      </c>
      <c r="C18" s="11">
        <f>'Ряд'!L19</f>
        <v/>
      </c>
      <c r="D18" s="11">
        <f>'Ряд'!H19</f>
        <v/>
      </c>
      <c r="E18" s="12">
        <f>'Ряд'!M19</f>
        <v/>
      </c>
    </row>
    <row r="19">
      <c r="A19" s="6">
        <f>'Ряд'!A20</f>
        <v/>
      </c>
      <c r="B19" s="11">
        <f>'Ряд'!K20</f>
        <v/>
      </c>
      <c r="C19" s="11">
        <f>'Ряд'!L20</f>
        <v/>
      </c>
      <c r="D19" s="11">
        <f>'Ряд'!H20</f>
        <v/>
      </c>
      <c r="E19" s="12">
        <f>'Ряд'!M20</f>
        <v/>
      </c>
    </row>
    <row r="20">
      <c r="A20" s="6">
        <f>'Ряд'!A21</f>
        <v/>
      </c>
      <c r="B20" s="11">
        <f>'Ряд'!K21</f>
        <v/>
      </c>
      <c r="C20" s="11">
        <f>'Ряд'!L21</f>
        <v/>
      </c>
      <c r="D20" s="11">
        <f>'Ряд'!H21</f>
        <v/>
      </c>
      <c r="E20" s="12">
        <f>'Ряд'!M21</f>
        <v/>
      </c>
    </row>
    <row r="21">
      <c r="A21" s="6">
        <f>'Ряд'!A22</f>
        <v/>
      </c>
      <c r="B21" s="11">
        <f>'Ряд'!K22</f>
        <v/>
      </c>
      <c r="C21" s="11">
        <f>'Ряд'!L22</f>
        <v/>
      </c>
      <c r="D21" s="11">
        <f>'Ряд'!H22</f>
        <v/>
      </c>
      <c r="E21" s="12">
        <f>'Ряд'!M22</f>
        <v/>
      </c>
    </row>
    <row r="22">
      <c r="A22" s="6">
        <f>'Ряд'!A23</f>
        <v/>
      </c>
      <c r="B22" s="11">
        <f>'Ряд'!K23</f>
        <v/>
      </c>
      <c r="C22" s="11">
        <f>'Ряд'!L23</f>
        <v/>
      </c>
      <c r="D22" s="11">
        <f>'Ряд'!H23</f>
        <v/>
      </c>
      <c r="E22" s="12">
        <f>'Ряд'!M23</f>
        <v/>
      </c>
    </row>
    <row r="23">
      <c r="A23" s="6">
        <f>'Ряд'!A24</f>
        <v/>
      </c>
      <c r="B23" s="11">
        <f>'Ряд'!K24</f>
        <v/>
      </c>
      <c r="C23" s="11">
        <f>'Ряд'!L24</f>
        <v/>
      </c>
      <c r="D23" s="11">
        <f>'Ряд'!H24</f>
        <v/>
      </c>
      <c r="E23" s="12">
        <f>'Ряд'!M24</f>
        <v/>
      </c>
    </row>
    <row r="24">
      <c r="A24" s="6">
        <f>'Ряд'!A25</f>
        <v/>
      </c>
      <c r="B24" s="11">
        <f>'Ряд'!K25</f>
        <v/>
      </c>
      <c r="C24" s="11">
        <f>'Ряд'!L25</f>
        <v/>
      </c>
      <c r="D24" s="11">
        <f>'Ряд'!H25</f>
        <v/>
      </c>
      <c r="E24" s="12">
        <f>'Ряд'!M25</f>
        <v/>
      </c>
    </row>
    <row r="25">
      <c r="A25" s="6">
        <f>'Ряд'!A26</f>
        <v/>
      </c>
      <c r="B25" s="11">
        <f>'Ряд'!K26</f>
        <v/>
      </c>
      <c r="C25" s="11">
        <f>'Ряд'!L26</f>
        <v/>
      </c>
      <c r="D25" s="11">
        <f>'Ряд'!H26</f>
        <v/>
      </c>
      <c r="E25" s="12">
        <f>'Ряд'!M26</f>
        <v/>
      </c>
    </row>
    <row r="26">
      <c r="A26" s="6">
        <f>'Ряд'!A27</f>
        <v/>
      </c>
      <c r="B26" s="11">
        <f>'Ряд'!K27</f>
        <v/>
      </c>
      <c r="C26" s="11">
        <f>'Ряд'!L27</f>
        <v/>
      </c>
      <c r="D26" s="11">
        <f>'Ряд'!H27</f>
        <v/>
      </c>
      <c r="E26" s="12">
        <f>'Ряд'!M27</f>
        <v/>
      </c>
    </row>
    <row r="27">
      <c r="A27" s="6">
        <f>'Ряд'!A28</f>
        <v/>
      </c>
      <c r="B27" s="11">
        <f>'Ряд'!K28</f>
        <v/>
      </c>
      <c r="C27" s="11">
        <f>'Ряд'!L28</f>
        <v/>
      </c>
      <c r="D27" s="11">
        <f>'Ряд'!H28</f>
        <v/>
      </c>
      <c r="E27" s="12">
        <f>'Ряд'!M28</f>
        <v/>
      </c>
    </row>
    <row r="28">
      <c r="A28" s="6">
        <f>'Ряд'!A29</f>
        <v/>
      </c>
      <c r="B28" s="11">
        <f>'Ряд'!K29</f>
        <v/>
      </c>
      <c r="C28" s="11">
        <f>'Ряд'!L29</f>
        <v/>
      </c>
      <c r="D28" s="11">
        <f>'Ряд'!H29</f>
        <v/>
      </c>
      <c r="E28" s="12">
        <f>'Ряд'!M29</f>
        <v/>
      </c>
    </row>
    <row r="29">
      <c r="A29" s="6">
        <f>'Ряд'!A30</f>
        <v/>
      </c>
      <c r="B29" s="11">
        <f>'Ряд'!K30</f>
        <v/>
      </c>
      <c r="C29" s="11">
        <f>'Ряд'!L30</f>
        <v/>
      </c>
      <c r="D29" s="11">
        <f>'Ряд'!H30</f>
        <v/>
      </c>
      <c r="E29" s="12">
        <f>'Ряд'!M30</f>
        <v/>
      </c>
    </row>
    <row r="30">
      <c r="A30" s="6">
        <f>'Ряд'!A31</f>
        <v/>
      </c>
      <c r="B30" s="11">
        <f>'Ряд'!K31</f>
        <v/>
      </c>
      <c r="C30" s="11">
        <f>'Ряд'!L31</f>
        <v/>
      </c>
      <c r="D30" s="11">
        <f>'Ряд'!H31</f>
        <v/>
      </c>
      <c r="E30" s="12">
        <f>'Ряд'!M31</f>
        <v/>
      </c>
    </row>
    <row r="31">
      <c r="A31" s="6">
        <f>'Ряд'!A32</f>
        <v/>
      </c>
      <c r="B31" s="11">
        <f>'Ряд'!K32</f>
        <v/>
      </c>
      <c r="C31" s="11">
        <f>'Ряд'!L32</f>
        <v/>
      </c>
      <c r="D31" s="11">
        <f>'Ряд'!H32</f>
        <v/>
      </c>
      <c r="E31" s="12">
        <f>'Ряд'!M32</f>
        <v/>
      </c>
    </row>
    <row r="32">
      <c r="A32" s="6">
        <f>'Ряд'!A33</f>
        <v/>
      </c>
      <c r="B32" s="11">
        <f>'Ряд'!K33</f>
        <v/>
      </c>
      <c r="C32" s="11">
        <f>'Ряд'!L33</f>
        <v/>
      </c>
      <c r="D32" s="11">
        <f>'Ряд'!H33</f>
        <v/>
      </c>
      <c r="E32" s="12">
        <f>'Ряд'!M33</f>
        <v/>
      </c>
    </row>
    <row r="33">
      <c r="A33" s="6">
        <f>'Ряд'!A34</f>
        <v/>
      </c>
      <c r="B33" s="11">
        <f>'Ряд'!K34</f>
        <v/>
      </c>
      <c r="C33" s="11">
        <f>'Ряд'!L34</f>
        <v/>
      </c>
      <c r="D33" s="11">
        <f>'Ряд'!H34</f>
        <v/>
      </c>
      <c r="E33" s="12">
        <f>'Ряд'!M34</f>
        <v/>
      </c>
    </row>
    <row r="34">
      <c r="A34" s="6">
        <f>'Ряд'!A35</f>
        <v/>
      </c>
      <c r="B34" s="11">
        <f>'Ряд'!K35</f>
        <v/>
      </c>
      <c r="C34" s="11">
        <f>'Ряд'!L35</f>
        <v/>
      </c>
      <c r="D34" s="11">
        <f>'Ряд'!H35</f>
        <v/>
      </c>
      <c r="E34" s="12">
        <f>'Ряд'!M35</f>
        <v/>
      </c>
    </row>
    <row r="35">
      <c r="A35" s="6">
        <f>'Ряд'!A36</f>
        <v/>
      </c>
      <c r="B35" s="11">
        <f>'Ряд'!K36</f>
        <v/>
      </c>
      <c r="C35" s="11">
        <f>'Ряд'!L36</f>
        <v/>
      </c>
      <c r="D35" s="11">
        <f>'Ряд'!H36</f>
        <v/>
      </c>
      <c r="E35" s="12">
        <f>'Ряд'!M36</f>
        <v/>
      </c>
    </row>
    <row r="36">
      <c r="A36" s="6">
        <f>'Ряд'!A37</f>
        <v/>
      </c>
      <c r="B36" s="11">
        <f>'Ряд'!K37</f>
        <v/>
      </c>
      <c r="C36" s="11">
        <f>'Ряд'!L37</f>
        <v/>
      </c>
      <c r="D36" s="11">
        <f>'Ряд'!H37</f>
        <v/>
      </c>
      <c r="E36" s="12">
        <f>'Ряд'!M37</f>
        <v/>
      </c>
    </row>
    <row r="37">
      <c r="A37" s="6">
        <f>'Ряд'!A38</f>
        <v/>
      </c>
      <c r="B37" s="11">
        <f>'Ряд'!K38</f>
        <v/>
      </c>
      <c r="C37" s="11">
        <f>'Ряд'!L38</f>
        <v/>
      </c>
      <c r="D37" s="11">
        <f>'Ряд'!H38</f>
        <v/>
      </c>
      <c r="E37" s="12">
        <f>'Ряд'!M38</f>
        <v/>
      </c>
    </row>
    <row r="38">
      <c r="A38" s="6">
        <f>'Ряд'!A39</f>
        <v/>
      </c>
      <c r="B38" s="11">
        <f>'Ряд'!K39</f>
        <v/>
      </c>
      <c r="C38" s="11">
        <f>'Ряд'!L39</f>
        <v/>
      </c>
      <c r="D38" s="11">
        <f>'Ряд'!H39</f>
        <v/>
      </c>
      <c r="E38" s="12">
        <f>'Ряд'!M39</f>
        <v/>
      </c>
    </row>
    <row r="39">
      <c r="A39" s="6">
        <f>'Ряд'!A40</f>
        <v/>
      </c>
      <c r="B39" s="11">
        <f>'Ряд'!K40</f>
        <v/>
      </c>
      <c r="C39" s="11">
        <f>'Ряд'!L40</f>
        <v/>
      </c>
      <c r="D39" s="11">
        <f>'Ряд'!H40</f>
        <v/>
      </c>
      <c r="E39" s="12">
        <f>'Ряд'!M40</f>
        <v/>
      </c>
    </row>
    <row r="41">
      <c r="A41" s="30" t="inlineStr">
        <is>
          <t>Сработало</t>
        </is>
      </c>
      <c r="B41" s="55">
        <f>COUNTIF(E5:E39,"Займ")+COUNTIF(E5:E39,"СК")+COUNTIF(E5:E39,"оба")</f>
        <v/>
      </c>
      <c r="C41" s="62">
        <f>B41/35*100</f>
        <v/>
      </c>
      <c r="D41" s="63" t="inlineStr">
        <is>
          <t>из 35 приростов, %</t>
        </is>
      </c>
      <c r="E41" s="54" t="n"/>
    </row>
    <row r="43" ht="58" customHeight="1">
      <c r="A43" s="21" t="inlineStr">
        <is>
          <t>Строка 01.2026 — та, ради которой триггеры и заводятся: вход сделан капиталом (ΔСК = −7,92 %), а не портфелем, и уровневая зона его не предупреждала в принципе. Зона смотрит на значение коэффициента, триггер — на его движение. Формула M(T) описывает диффузию, триггер ловит скачок; ни один из двух инструментов не заменяет другой.</t>
        </is>
      </c>
    </row>
  </sheetData>
  <mergeCells count="2">
    <mergeCell ref="A2:E2"/>
    <mergeCell ref="A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2026-09-14T09:41:09Z</dcterms:created>
  <dcterms:modified xmlns:dcterms="http://purl.org/dc/terms/" xmlns:xsi="http://www.w3.org/2001/XMLSchema-instance" xsi:type="dcterms:W3CDTF">2026-09-14T09:41:09Z</dcterms:modified>
</cp:coreProperties>
</file>