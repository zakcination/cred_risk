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worksheets/sheet6.xml" ContentType="application/vnd.openxmlformats-officedocument.spreadsheetml.worksheet+xml"/>
  <Override PartName="/xl/drawings/drawing4.xml" ContentType="application/vnd.openxmlformats-officedocument.drawing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drawings/drawing5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Как защищать" sheetId="1" state="visible" r:id="rId1"/>
    <sheet xmlns:r="http://schemas.openxmlformats.org/officeDocument/2006/relationships" name="Ряд" sheetId="2" state="visible" r:id="rId2"/>
    <sheet xmlns:r="http://schemas.openxmlformats.org/officeDocument/2006/relationships" name="Параметры" sheetId="3" state="visible" r:id="rId3"/>
    <sheet xmlns:r="http://schemas.openxmlformats.org/officeDocument/2006/relationships" name="Расчёт" sheetId="4" state="visible" r:id="rId4"/>
    <sheet xmlns:r="http://schemas.openxmlformats.org/officeDocument/2006/relationships" name="Обоснование M(T)" sheetId="5" state="visible" r:id="rId5"/>
    <sheet xmlns:r="http://schemas.openxmlformats.org/officeDocument/2006/relationships" name="Зоны" sheetId="6" state="visible" r:id="rId6"/>
    <sheet xmlns:r="http://schemas.openxmlformats.org/officeDocument/2006/relationships" name="Две сигмы" sheetId="7" state="visible" r:id="rId7"/>
    <sheet xmlns:r="http://schemas.openxmlformats.org/officeDocument/2006/relationships" name="Триггеры" sheetId="8" state="visible" r:id="rId8"/>
    <sheet xmlns:r="http://schemas.openxmlformats.org/officeDocument/2006/relationships" name="Метрики — ряд" sheetId="9" state="visible" r:id="rId9"/>
    <sheet xmlns:r="http://schemas.openxmlformats.org/officeDocument/2006/relationships" name="Метрики" sheetId="10" state="visible" r:id="rId10"/>
  </sheets>
  <definedNames>
    <definedName name="v">'Ряд'!$H$5:$H$40</definedName>
    <definedName name="d">'Ряд'!$J$6:$J$40</definedName>
    <definedName name="cor_kb">'Ряд'!$O$5:$O$40</definedName>
    <definedName name="d_cor_kb">'Ряд'!$P$6:$P$40</definedName>
    <definedName name="cor_ms">'Ряд'!$R$5:$R$40</definedName>
    <definedName name="d_cor_ms">'Ряд'!$S$6:$S$40</definedName>
    <definedName name="p_conf">'Параметры'!$C$5</definedName>
    <definedName name="z_p">'Параметры'!$C$6</definedName>
    <definedName name="k_G26">'Параметры'!$C$7</definedName>
    <definedName name="L_reg">'Параметры'!$C$8</definedName>
    <definedName name="T_cikl">'Параметры'!$C$9</definedName>
    <definedName name="por_sk">'Параметры'!$C$10</definedName>
    <definedName name="por_zaim">'Параметры'!$C$11</definedName>
  </definedNames>
  <calcPr calcId="124519" fullCalcOnLoad="1"/>
</workbook>
</file>

<file path=xl/styles.xml><?xml version="1.0" encoding="utf-8"?>
<styleSheet xmlns="http://schemas.openxmlformats.org/spreadsheetml/2006/main">
  <numFmts count="7">
    <numFmt numFmtId="164" formatCode="#,##0.0"/>
    <numFmt numFmtId="165" formatCode="0.00000000"/>
    <numFmt numFmtId="166" formatCode="0.0000"/>
    <numFmt numFmtId="167" formatCode="0.000000"/>
    <numFmt numFmtId="168" formatCode="0.0"/>
    <numFmt numFmtId="169" formatCode="0.000"/>
    <numFmt numFmtId="170" formatCode="0.0%"/>
  </numFmts>
  <fonts count="7">
    <font>
      <name val="Calibri"/>
      <family val="2"/>
      <color theme="1"/>
      <sz val="11"/>
      <scheme val="minor"/>
    </font>
    <font>
      <name val="Calibri"/>
      <b val="1"/>
      <color rgb="FF0B0B0B"/>
      <sz val="14"/>
    </font>
    <font>
      <name val="Calibri"/>
      <color rgb="FF6B6A66"/>
      <sz val="9"/>
    </font>
    <font>
      <name val="Calibri"/>
      <b val="1"/>
      <color rgb="FF0B0B0B"/>
      <sz val="10"/>
    </font>
    <font>
      <name val="Calibri"/>
      <color rgb="FF0B0B0B"/>
      <sz val="10"/>
    </font>
    <font>
      <name val="Calibri"/>
      <b val="1"/>
      <color rgb="FF0B0B0B"/>
      <sz val="11"/>
    </font>
    <font>
      <name val="Consolas"/>
      <color rgb="FF6B6A66"/>
      <sz val="9"/>
    </font>
  </fonts>
  <fills count="8">
    <fill>
      <patternFill/>
    </fill>
    <fill>
      <patternFill patternType="gray125"/>
    </fill>
    <fill>
      <patternFill patternType="solid">
        <fgColor rgb="FFEDEBE3"/>
      </patternFill>
    </fill>
    <fill>
      <patternFill patternType="solid">
        <fgColor rgb="FFF6F5F0"/>
      </patternFill>
    </fill>
    <fill>
      <patternFill patternType="solid">
        <fgColor rgb="FFE3F2E1"/>
      </patternFill>
    </fill>
    <fill>
      <patternFill patternType="solid">
        <fgColor rgb="FFFDF2CF"/>
      </patternFill>
    </fill>
    <fill>
      <patternFill patternType="solid">
        <fgColor rgb="FFF8DDDA"/>
      </patternFill>
    </fill>
    <fill>
      <patternFill patternType="solid">
        <fgColor rgb="FFFFF4D6"/>
      </patternFill>
    </fill>
  </fills>
  <borders count="6">
    <border>
      <left/>
      <right/>
      <top/>
      <bottom/>
      <diagonal/>
    </border>
    <border>
      <left style="thin">
        <color rgb="FFD8D6CC"/>
      </left>
      <right style="thin">
        <color rgb="FFD8D6CC"/>
      </right>
      <top style="thin">
        <color rgb="FFD8D6CC"/>
      </top>
      <bottom style="thin">
        <color rgb="FFD8D6CC"/>
      </bottom>
    </border>
    <border>
      <left/>
      <right/>
      <top style="thin">
        <color rgb="FFD8D6CC"/>
      </top>
      <bottom/>
      <diagonal/>
    </border>
    <border>
      <left/>
      <right style="thin">
        <color rgb="FFD8D6CC"/>
      </right>
      <top style="thin">
        <color rgb="FFD8D6CC"/>
      </top>
      <bottom/>
      <diagonal/>
    </border>
    <border>
      <left/>
      <right/>
      <top style="thin">
        <color rgb="FFD8D6CC"/>
      </top>
      <bottom style="thin">
        <color rgb="FFD8D6CC"/>
      </bottom>
      <diagonal/>
    </border>
    <border>
      <left/>
      <right style="thin">
        <color rgb="FFD8D6CC"/>
      </right>
      <top style="thin">
        <color rgb="FFD8D6CC"/>
      </top>
      <bottom style="thin">
        <color rgb="FFD8D6CC"/>
      </bottom>
      <diagonal/>
    </border>
  </borders>
  <cellStyleXfs count="1">
    <xf numFmtId="0" fontId="0" fillId="0" borderId="0"/>
  </cellStyleXfs>
  <cellXfs count="72">
    <xf numFmtId="0" fontId="0" fillId="0" borderId="0" pivotButton="0" quotePrefix="0" xfId="0"/>
    <xf numFmtId="0" fontId="1" fillId="0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3" fillId="2" borderId="1" applyAlignment="1" pivotButton="0" quotePrefix="0" xfId="0">
      <alignment vertical="bottom" wrapText="1"/>
    </xf>
    <xf numFmtId="0" fontId="4" fillId="0" borderId="1" applyAlignment="1" pivotButton="0" quotePrefix="0" xfId="0">
      <alignment vertical="top"/>
    </xf>
    <xf numFmtId="164" fontId="4" fillId="0" borderId="1" applyAlignment="1" pivotButton="0" quotePrefix="0" xfId="0">
      <alignment vertical="top"/>
    </xf>
    <xf numFmtId="165" fontId="4" fillId="0" borderId="1" applyAlignment="1" pivotButton="0" quotePrefix="0" xfId="0">
      <alignment vertical="top"/>
    </xf>
    <xf numFmtId="166" fontId="4" fillId="0" borderId="1" applyAlignment="1" pivotButton="0" quotePrefix="0" xfId="0">
      <alignment vertical="top"/>
    </xf>
    <xf numFmtId="0" fontId="2" fillId="0" borderId="1" applyAlignment="1" pivotButton="0" quotePrefix="0" xfId="0">
      <alignment horizontal="center" vertical="top"/>
    </xf>
    <xf numFmtId="2" fontId="4" fillId="0" borderId="1" applyAlignment="1" pivotButton="0" quotePrefix="0" xfId="0">
      <alignment vertical="top"/>
    </xf>
    <xf numFmtId="0" fontId="4" fillId="0" borderId="1" applyAlignment="1" pivotButton="0" quotePrefix="0" xfId="0">
      <alignment horizontal="center" vertical="top"/>
    </xf>
    <xf numFmtId="0" fontId="3" fillId="2" borderId="1" applyAlignment="1" pivotButton="0" quotePrefix="0" xfId="0">
      <alignment vertical="top"/>
    </xf>
    <xf numFmtId="2" fontId="5" fillId="0" borderId="1" applyAlignment="1" pivotButton="0" quotePrefix="0" xfId="0">
      <alignment vertical="top"/>
    </xf>
    <xf numFmtId="0" fontId="6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167" fontId="5" fillId="0" borderId="1" applyAlignment="1" pivotButton="0" quotePrefix="0" xfId="0">
      <alignment vertical="top"/>
    </xf>
    <xf numFmtId="165" fontId="5" fillId="0" borderId="1" applyAlignment="1" pivotButton="0" quotePrefix="0" xfId="0">
      <alignment vertical="top"/>
    </xf>
    <xf numFmtId="1" fontId="5" fillId="0" borderId="1" applyAlignment="1" pivotButton="0" quotePrefix="0" xfId="0">
      <alignment vertical="top"/>
    </xf>
    <xf numFmtId="168" fontId="5" fillId="0" borderId="1" applyAlignment="1" pivotButton="0" quotePrefix="0" xfId="0">
      <alignment vertical="top"/>
    </xf>
    <xf numFmtId="0" fontId="4" fillId="0" borderId="0" applyAlignment="1" pivotButton="0" quotePrefix="0" xfId="0">
      <alignment vertical="top" wrapText="1"/>
    </xf>
    <xf numFmtId="0" fontId="5" fillId="3" borderId="0" applyAlignment="1" pivotButton="0" quotePrefix="0" xfId="0">
      <alignment vertical="top"/>
    </xf>
    <xf numFmtId="0" fontId="4" fillId="3" borderId="0" applyAlignment="1" pivotButton="0" quotePrefix="0" xfId="0">
      <alignment vertical="top"/>
    </xf>
    <xf numFmtId="166" fontId="5" fillId="0" borderId="1" applyAlignment="1" pivotButton="0" quotePrefix="0" xfId="0">
      <alignment vertical="top"/>
    </xf>
    <xf numFmtId="169" fontId="5" fillId="0" borderId="1" applyAlignment="1" pivotButton="0" quotePrefix="0" xfId="0">
      <alignment vertical="top"/>
    </xf>
    <xf numFmtId="166" fontId="4" fillId="0" borderId="0" applyAlignment="1" pivotButton="0" quotePrefix="0" xfId="0">
      <alignment vertical="top"/>
    </xf>
    <xf numFmtId="0" fontId="5" fillId="4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166" fontId="4" fillId="4" borderId="1" applyAlignment="1" pivotButton="0" quotePrefix="0" xfId="0">
      <alignment vertical="top"/>
    </xf>
    <xf numFmtId="0" fontId="6" fillId="4" borderId="1" applyAlignment="1" pivotButton="0" quotePrefix="0" xfId="0">
      <alignment horizontal="center" vertical="top"/>
    </xf>
    <xf numFmtId="1" fontId="5" fillId="4" borderId="1" applyAlignment="1" pivotButton="0" quotePrefix="0" xfId="0">
      <alignment horizontal="center" vertical="top"/>
    </xf>
    <xf numFmtId="168" fontId="4" fillId="4" borderId="1" applyAlignment="1" pivotButton="0" quotePrefix="0" xfId="0">
      <alignment vertical="top"/>
    </xf>
    <xf numFmtId="0" fontId="5" fillId="5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166" fontId="4" fillId="5" borderId="1" applyAlignment="1" pivotButton="0" quotePrefix="0" xfId="0">
      <alignment vertical="top"/>
    </xf>
    <xf numFmtId="0" fontId="6" fillId="5" borderId="1" applyAlignment="1" pivotButton="0" quotePrefix="0" xfId="0">
      <alignment horizontal="center" vertical="top"/>
    </xf>
    <xf numFmtId="1" fontId="5" fillId="5" borderId="1" applyAlignment="1" pivotButton="0" quotePrefix="0" xfId="0">
      <alignment horizontal="center" vertical="top"/>
    </xf>
    <xf numFmtId="168" fontId="4" fillId="5" borderId="1" applyAlignment="1" pivotButton="0" quotePrefix="0" xfId="0">
      <alignment vertical="top"/>
    </xf>
    <xf numFmtId="0" fontId="5" fillId="6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  <xf numFmtId="166" fontId="4" fillId="6" borderId="1" applyAlignment="1" pivotButton="0" quotePrefix="0" xfId="0">
      <alignment vertical="top"/>
    </xf>
    <xf numFmtId="0" fontId="6" fillId="6" borderId="1" applyAlignment="1" pivotButton="0" quotePrefix="0" xfId="0">
      <alignment horizontal="center" vertical="top"/>
    </xf>
    <xf numFmtId="1" fontId="5" fillId="6" borderId="1" applyAlignment="1" pivotButton="0" quotePrefix="0" xfId="0">
      <alignment horizontal="center" vertical="top"/>
    </xf>
    <xf numFmtId="168" fontId="4" fillId="6" borderId="1" applyAlignment="1" pivotButton="0" quotePrefix="0" xfId="0">
      <alignment vertical="top"/>
    </xf>
    <xf numFmtId="0" fontId="5" fillId="7" borderId="1" applyAlignment="1" pivotButton="0" quotePrefix="0" xfId="0">
      <alignment vertical="top" wrapText="1"/>
    </xf>
    <xf numFmtId="0" fontId="4" fillId="7" borderId="1" applyAlignment="1" pivotButton="0" quotePrefix="0" xfId="0">
      <alignment vertical="top" wrapText="1"/>
    </xf>
    <xf numFmtId="166" fontId="4" fillId="7" borderId="1" applyAlignment="1" pivotButton="0" quotePrefix="0" xfId="0">
      <alignment vertical="top"/>
    </xf>
    <xf numFmtId="0" fontId="6" fillId="7" borderId="1" applyAlignment="1" pivotButton="0" quotePrefix="0" xfId="0">
      <alignment horizontal="center" vertical="top"/>
    </xf>
    <xf numFmtId="1" fontId="5" fillId="7" borderId="1" applyAlignment="1" pivotButton="0" quotePrefix="0" xfId="0">
      <alignment horizontal="center" vertical="top"/>
    </xf>
    <xf numFmtId="168" fontId="4" fillId="7" borderId="1" applyAlignment="1" pivotButton="0" quotePrefix="0" xfId="0">
      <alignment vertical="top"/>
    </xf>
    <xf numFmtId="0" fontId="5" fillId="3" borderId="1" applyAlignment="1" pivotButton="0" quotePrefix="0" xfId="0">
      <alignment vertical="top"/>
    </xf>
    <xf numFmtId="0" fontId="4" fillId="3" borderId="1" applyAlignment="1" pivotButton="0" quotePrefix="0" xfId="0">
      <alignment vertical="top"/>
    </xf>
    <xf numFmtId="1" fontId="5" fillId="3" borderId="1" applyAlignment="1" pivotButton="0" quotePrefix="0" xfId="0">
      <alignment horizontal="center" vertical="top"/>
    </xf>
    <xf numFmtId="168" fontId="4" fillId="3" borderId="1" applyAlignment="1" pivotButton="0" quotePrefix="0" xfId="0">
      <alignment vertical="top"/>
    </xf>
    <xf numFmtId="0" fontId="0" fillId="0" borderId="4" pivotButton="0" quotePrefix="0" xfId="0"/>
    <xf numFmtId="0" fontId="0" fillId="0" borderId="5" pivotButton="0" quotePrefix="0" xfId="0"/>
    <xf numFmtId="0" fontId="5" fillId="5" borderId="1" applyAlignment="1" pivotButton="0" quotePrefix="0" xfId="0">
      <alignment vertical="top"/>
    </xf>
    <xf numFmtId="3" fontId="5" fillId="0" borderId="1" applyAlignment="1" pivotButton="0" quotePrefix="0" xfId="0">
      <alignment vertical="top"/>
    </xf>
    <xf numFmtId="0" fontId="5" fillId="0" borderId="1" applyAlignment="1" pivotButton="0" quotePrefix="0" xfId="0">
      <alignment vertical="top"/>
    </xf>
    <xf numFmtId="170" fontId="4" fillId="0" borderId="1" applyAlignment="1" pivotButton="0" quotePrefix="0" xfId="0">
      <alignment vertical="top"/>
    </xf>
    <xf numFmtId="168" fontId="5" fillId="3" borderId="1" applyAlignment="1" pivotButton="0" quotePrefix="0" xfId="0">
      <alignment vertical="top"/>
    </xf>
    <xf numFmtId="0" fontId="2" fillId="3" borderId="1" applyAlignment="1" pivotButton="0" quotePrefix="0" xfId="0">
      <alignment vertical="top"/>
    </xf>
    <xf numFmtId="0" fontId="3" fillId="2" borderId="0" applyAlignment="1" pivotButton="0" quotePrefix="0" xfId="0">
      <alignment vertical="top"/>
    </xf>
    <xf numFmtId="0" fontId="4" fillId="3" borderId="1" applyAlignment="1" pivotButton="0" quotePrefix="0" xfId="0">
      <alignment horizontal="center" vertical="top"/>
    </xf>
    <xf numFmtId="166" fontId="4" fillId="3" borderId="1" applyAlignment="1" pivotButton="0" quotePrefix="0" xfId="0">
      <alignment vertical="top"/>
    </xf>
    <xf numFmtId="1" fontId="4" fillId="3" borderId="1" applyAlignment="1" pivotButton="0" quotePrefix="0" xfId="0">
      <alignment vertical="top"/>
    </xf>
    <xf numFmtId="0" fontId="5" fillId="5" borderId="1" applyAlignment="1" pivotButton="0" quotePrefix="0" xfId="0">
      <alignment horizontal="center" vertical="top"/>
    </xf>
    <xf numFmtId="2" fontId="4" fillId="3" borderId="1" applyAlignment="1" pivotButton="0" quotePrefix="0" xfId="0">
      <alignment vertical="top"/>
    </xf>
    <xf numFmtId="1" fontId="4" fillId="0" borderId="1" applyAlignment="1" pivotButton="0" quotePrefix="0" xfId="0">
      <alignment vertical="top"/>
    </xf>
    <xf numFmtId="0" fontId="4" fillId="5" borderId="1" applyAlignment="1" pivotButton="0" quotePrefix="0" xfId="0">
      <alignment horizontal="center" vertical="top"/>
    </xf>
    <xf numFmtId="0" fontId="4" fillId="4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/><Relationship Type="http://schemas.openxmlformats.org/officeDocument/2006/relationships/image" Target="/xl/media/image5.png" Id="rId2"/></Relationships>
</file>

<file path=xl/drawings/_rels/drawing5.xml.rels><Relationships xmlns="http://schemas.openxmlformats.org/package/2006/relationships"><Relationship Type="http://schemas.openxmlformats.org/officeDocument/2006/relationships/image" Target="/xl/media/image6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17</row>
      <rowOff>0</rowOff>
    </from>
    <ext cx="8572500" cy="73723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44</row>
      <rowOff>0</rowOff>
    </from>
    <ext cx="9525000" cy="44672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43</row>
      <rowOff>0</rowOff>
    </from>
    <ext cx="9525000" cy="57626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43</row>
      <rowOff>0</rowOff>
    </from>
    <ext cx="10477500" cy="5524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79</row>
      <rowOff>0</rowOff>
    </from>
    <ext cx="9525000" cy="45720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5.xml><?xml version="1.0" encoding="utf-8"?>
<wsDr xmlns="http://schemas.openxmlformats.org/drawingml/2006/spreadsheetDrawing">
  <oneCellAnchor>
    <from>
      <col>0</col>
      <colOff>0</colOff>
      <row>24</row>
      <rowOff>0</rowOff>
    </from>
    <ext cx="10953750" cy="61626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38" customWidth="1" min="1" max="1"/>
    <col width="106" customWidth="1" min="2" max="2"/>
  </cols>
  <sheetData>
    <row r="1">
      <c r="A1" s="1" t="inlineStr">
        <is>
          <t>Расчётный лист по топ-20: как им пользоваться на комитете</t>
        </is>
      </c>
    </row>
    <row r="2" ht="30" customHeight="1">
      <c r="A2" s="2" t="inlineStr">
        <is>
          <t>Редакция 14.09.2026. Собрано из data/top20_monthly_2023_08_2026_07.csv сборщиком build/raschet_list.py — правки вносятся в скрипт, а не в готовый файл. Сверка: python3 raschet_list.py --verify.</t>
        </is>
      </c>
    </row>
    <row r="4" ht="52" customHeight="1">
      <c r="A4" s="3" t="inlineStr">
        <is>
          <t>Что в книге</t>
        </is>
      </c>
      <c r="B4" s="4" t="inlineStr">
        <is>
          <t>«Ряд» — 36 точек и всё, что считается построчно, обе базы капитала рядом. «Параметры» — семь входов, из них вычисляются два. «Расчёт» — каждое опубликованное число живой формулой против напечатанного. «Обоснование M(T)» — четыре проверки допущений формулы буфера. «Зоны» — разметка и где мы сейчас. «Две сигмы» — остаток Р-Д1. «Триггеры» — все 35 приростов.</t>
        </is>
      </c>
    </row>
    <row r="5" ht="52" customHeight="1">
      <c r="A5" s="3" t="inlineStr">
        <is>
          <t>Главное свойство</t>
        </is>
      </c>
      <c r="B5" s="4" t="inlineStr">
        <is>
          <t>В книге нет ни одного вбитого руками результата, кроме одного помеченного (бутстрап). Любое число со слайда выделяется в колонке «Значение», и в строке формул видно, из чего оно получено. Несогласный с параметром меняет его на листе «Параметры», и вся книга пересчитывается при нём.</t>
        </is>
      </c>
    </row>
    <row r="6" ht="52" customHeight="1">
      <c r="A6" s="3" t="inlineStr">
        <is>
          <t>«Откуда 108,63»</t>
        </is>
      </c>
      <c r="B6" s="4" t="inlineStr">
        <is>
          <t>Уровень 95 % задан в регуляторной базе капитала. С 01.01.2026 знаменатель метрики — балансовый капитал (Г26), k = 0,8745 есть отношение баз. 108,63 — тот же уровень в новой базе. Второй, независимый путь: квантиль 90 % ряда плюс запас на три месяца даёт 108,58. Сходимость двух путей на 0,05 пп и есть довод, что уровень не подогнан.</t>
        </is>
      </c>
    </row>
    <row r="7" ht="52" customHeight="1">
      <c r="A7" s="3" t="inlineStr">
        <is>
          <t>«Почему корень из T»</t>
        </is>
      </c>
      <c r="B7" s="4" t="inlineStr">
        <is>
          <t>Складываются дисперсии, а не с.к.о.: сумма T независимых приростов имеет дисперсию T·σ², то есть разброс σ·√T. Держится это ровно на независимости. Лист «Обоснование M(T)», блок 1: автокорреляция −0,08 при пороге 0,34; фактический разброс трёхмесячных изменений 6,40 против модельных 7,04 — модель ЗАВЫШАЕТ, то есть ошибается в безопасную сторону.</t>
        </is>
      </c>
    </row>
    <row r="8" ht="52" customHeight="1">
      <c r="A8" s="3" t="inlineStr">
        <is>
          <t>«Почему нормальное распределение»</t>
        </is>
      </c>
      <c r="B8" s="4" t="inlineStr">
        <is>
          <t>Нужна нормальность не приростов, а их трёхмесячной СУММЫ, к которой буфер и применяется. У приростов асимметрия 0,67, у суммы — 0,04. Жарк–Бера на приростах 2,70 при критических 5,99. И z(0,90) = 1,28 лежит в теле распределения, а не в хвосте: ошибки нормальности бьют на 99 %, не на 90 %. Лист «Обоснование M(T)», блок 2.</t>
        </is>
      </c>
    </row>
    <row r="9" ht="52" customHeight="1">
      <c r="A9" s="3" t="inlineStr">
        <is>
          <t>«А буфер не выдуман»</t>
        </is>
      </c>
      <c r="B9" s="4" t="inlineStr">
        <is>
          <t>Три непараметрических способа дают 9,29, 9,35 и 9,37 против модельных 9,03 — разброс 3,6 % при собственной погрешности σ в ±1,09. И проверка на факте: движение апрель→июль 2026 составило +8,24 пп, то есть 91 % буфера. Буфер не подушка на всякий случай — ряд только что прошёл почти ровно такое движение.</t>
        </is>
      </c>
    </row>
    <row r="10" ht="44" customHeight="1">
      <c r="A10" s="3" t="inlineStr">
        <is>
          <t>«Почему T = 3»</t>
        </is>
      </c>
      <c r="B10" s="4" t="inlineStr">
        <is>
          <t>Честный ответ: длина цикла решения не измерена и в регламенте не закреплена. Это записано как незакрытый пункт, а не спрятано. Поставьте на «Параметрах» T = 2 или T = 4 — уровень двигается примерно на 1,4–1,5 пп за месяц цикла.</t>
        </is>
      </c>
    </row>
    <row r="11" ht="44" customHeight="1">
      <c r="A11" s="3" t="inlineStr">
        <is>
          <t>«Почему 90 %, а не 95 или 99»</t>
        </is>
      </c>
      <c r="B11" s="4" t="inlineStr">
        <is>
          <t>Это цена ложного отбоя, а не расчёт. При 90 % один ложный сигнал из десяти. Выше — жёлтая опускается и лампа горит почти всегда. Параметр p на листе «Параметры» меняется, z пересчитывается сам. Решение комитета, не наше.</t>
        </is>
      </c>
    </row>
    <row r="12" ht="44" customHeight="1">
      <c r="A12" s="3" t="inlineStr">
        <is>
          <t>«Где мы сейчас»</t>
        </is>
      </c>
      <c r="B12" s="4" t="inlineStr">
        <is>
          <t>Лист «Зоны». Текущая точка 101,50 — жёлтая зона. До лимита 7,13 пп = 1,75 σ. T* = 1,87 месяца: столько остаётся до лимита при доверии 90 %. Красная зона за 36 месяцев загоралась один раз, пробоев не было ни разу.</t>
        </is>
      </c>
    </row>
    <row r="13" ht="44" customHeight="1">
      <c r="A13" s="3" t="inlineStr">
        <is>
          <t>«А если ничего не менять»</t>
        </is>
      </c>
      <c r="B13" s="4" t="inlineStr">
        <is>
          <t>Лист «Расчёт», блок 7. При сохранении уровня 95 % жёлтая линия ложится на 85,97, и выше неё оказывается 31 наблюдение из 36. Светофор с постоянно горящей лампой не является системой раннего предупреждения.</t>
        </is>
      </c>
    </row>
    <row r="14" ht="52" customHeight="1">
      <c r="A14" s="3" t="inlineStr">
        <is>
          <t>Четыре слабых места — назвать самому</t>
        </is>
      </c>
      <c r="B14" s="4" t="inlineStr">
        <is>
          <t>1) Ряд обрывается на 01.07.2026: на дату записки факт отстаёт на три месяца. 2) T = 3 не измерено. 3) k не константа — за 30 месяцев вырос с 0,779 до 0,875, и уровень, посчитанный по k одной даты, стареет вместе с ним. 4) П. 26 Стратегии о трёх пределах уровня рисков дословно не разобран, поэтому разметка зон — наше предложение, а не соответствие ВНД.</t>
        </is>
      </c>
    </row>
    <row r="15" ht="44" customHeight="1">
      <c r="A15" s="3" t="inlineStr">
        <is>
          <t>Чего книга не доказывает</t>
        </is>
      </c>
      <c r="B15" s="4" t="inlineStr">
        <is>
          <t>Что формулы верны по существу. Она доказывает ровно одно: числа получены из ряда объявленными формулами, а допущения формулы буфера проверены на этом же ряде и не отвергнуты. Верна ли метрика и тот ли это ряд — из воспроизводимости не следует.</t>
        </is>
      </c>
    </row>
    <row r="17" ht="32" customHeight="1">
      <c r="A17" s="2" t="inlineStr">
        <is>
          <t>Цепочка «риск-ёмкость → риск-аппетит → лимит → допустимый уровень → мера реагирования → контроль» и её фактические разрывы: целиком есть одно звено из шести.</t>
        </is>
      </c>
    </row>
  </sheetData>
  <mergeCells count="2">
    <mergeCell ref="A2:B2"/>
    <mergeCell ref="A17:G17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4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7" customWidth="1" min="3" max="3"/>
    <col width="17" customWidth="1" min="4" max="4"/>
    <col width="13" customWidth="1" min="5" max="5"/>
    <col width="15" customWidth="1" min="6" max="6"/>
    <col width="13" customWidth="1" min="7" max="7"/>
    <col width="15" customWidth="1" min="8" max="8"/>
    <col width="15" customWidth="1" min="9" max="9"/>
    <col width="15" customWidth="1" min="10" max="10"/>
    <col width="12" customWidth="1" min="11" max="11"/>
    <col width="11" customWidth="1" min="12" max="12"/>
    <col width="13" customWidth="1" min="13" max="13"/>
    <col width="13" customWidth="1" min="14" max="14"/>
    <col width="12" customWidth="1" min="15" max="15"/>
    <col width="12" customWidth="1" min="16" max="16"/>
    <col width="13" customWidth="1" min="17" max="17"/>
    <col width="12" customWidth="1" min="18" max="18"/>
    <col width="12" customWidth="1" min="19" max="19"/>
  </cols>
  <sheetData>
    <row r="1">
      <c r="A1" s="1" t="inlineStr">
        <is>
          <t>Ряд топ-20: 36 месячных точек, 01.08.2023 — 01.07.2026</t>
        </is>
      </c>
    </row>
    <row r="2" ht="52" customHeight="1">
      <c r="A2" s="2" t="inlineStr">
        <is>
          <t>Источник: data/top20_monthly_2023_08_2026_07.csv, дамп листа Monthly рабочей книги 08.09.2026 (DECOMPOSITION § 11.7). Колонки A–D — как в выгрузке, E–M — расчёт. С 01.02.2026 регуляторный капитал в выгрузке отсутствует: метрика ведётся только в балансовой базе, поэтому C, E, F и I у последних шести дат пусты. Это не пропуск данных, а следствие смены базы (Г26). Колонки N–S — CoR по КБ/ПБ и по МСБ из того же файла, 36 из 36: в первой сборке листа «Метрики» они были ошибочно взяты из квартального ряда.</t>
        </is>
      </c>
    </row>
    <row r="4" ht="32" customHeight="1">
      <c r="A4" s="5" t="inlineStr">
        <is>
          <t>Дата</t>
        </is>
      </c>
      <c r="B4" s="5" t="inlineStr">
        <is>
          <t>Займ топ-20, млн ₸</t>
        </is>
      </c>
      <c r="C4" s="5" t="inlineStr">
        <is>
          <t>СК регуляторный, млн ₸</t>
        </is>
      </c>
      <c r="D4" s="5" t="inlineStr">
        <is>
          <t>СК балансовый, млн ₸</t>
        </is>
      </c>
      <c r="E4" s="5" t="inlineStr">
        <is>
          <t>coef_reg (доля)</t>
        </is>
      </c>
      <c r="F4" s="5" t="inlineStr">
        <is>
          <t>v_reg = coef_reg × 100</t>
        </is>
      </c>
      <c r="G4" s="5" t="inlineStr">
        <is>
          <t>coef_new (доля)</t>
        </is>
      </c>
      <c r="H4" s="5" t="inlineStr">
        <is>
          <t>v_new = coef_new × 100</t>
        </is>
      </c>
      <c r="I4" s="5" t="inlineStr">
        <is>
          <t>Разрыв баз: v_new − v_reg</t>
        </is>
      </c>
      <c r="J4" s="5" t="inlineStr">
        <is>
          <t>Δ = v_new(t) − v_new(t−1)</t>
        </is>
      </c>
      <c r="K4" s="5" t="inlineStr">
        <is>
          <t>ΔСК балансовый, %</t>
        </is>
      </c>
      <c r="L4" s="5" t="inlineStr">
        <is>
          <t>ΔЗайм, %</t>
        </is>
      </c>
      <c r="M4" s="5" t="inlineStr">
        <is>
          <t>Триггер</t>
        </is>
      </c>
      <c r="N4" s="5" t="inlineStr">
        <is>
          <t>cor_kb_pb (доля)</t>
        </is>
      </c>
      <c r="O4" s="5" t="inlineStr">
        <is>
          <t>CoR КБ/ПБ, %</t>
        </is>
      </c>
      <c r="P4" s="5" t="inlineStr">
        <is>
          <t>Δ CoR КБ/ПБ</t>
        </is>
      </c>
      <c r="Q4" s="5" t="inlineStr">
        <is>
          <t>cor_msb (доля)</t>
        </is>
      </c>
      <c r="R4" s="5" t="inlineStr">
        <is>
          <t>CoR МСБ, %</t>
        </is>
      </c>
      <c r="S4" s="5" t="inlineStr">
        <is>
          <t>Δ CoR МСБ</t>
        </is>
      </c>
    </row>
    <row r="5">
      <c r="A5" s="6" t="inlineStr">
        <is>
          <t>2023-08-01</t>
        </is>
      </c>
      <c r="B5" s="7" t="n">
        <v>323730.9</v>
      </c>
      <c r="C5" s="7" t="n">
        <v>413937.118</v>
      </c>
      <c r="D5" s="7" t="n">
        <v>322505.417</v>
      </c>
      <c r="E5" s="8">
        <f>IF(C5="","",B5/C5)</f>
        <v/>
      </c>
      <c r="F5" s="9">
        <f>IF(E5="","",E5*100)</f>
        <v/>
      </c>
      <c r="G5" s="8">
        <f>B5/D5</f>
        <v/>
      </c>
      <c r="H5" s="9">
        <f>G5*100</f>
        <v/>
      </c>
      <c r="I5" s="9">
        <f>IF(F5="","",H5-F5)</f>
        <v/>
      </c>
      <c r="J5" s="10" t="inlineStr">
        <is>
          <t>—</t>
        </is>
      </c>
      <c r="K5" s="10" t="inlineStr">
        <is>
          <t>—</t>
        </is>
      </c>
      <c r="L5" s="10" t="inlineStr">
        <is>
          <t>—</t>
        </is>
      </c>
      <c r="M5" s="10" t="inlineStr">
        <is>
          <t>—</t>
        </is>
      </c>
      <c r="N5" s="8" t="n">
        <v>0.02271529921</v>
      </c>
      <c r="O5" s="9">
        <f>N5*100</f>
        <v/>
      </c>
      <c r="P5" s="10" t="inlineStr">
        <is>
          <t>—</t>
        </is>
      </c>
      <c r="Q5" s="8" t="n">
        <v>-0.0001482371103</v>
      </c>
      <c r="R5" s="9">
        <f>Q5*100</f>
        <v/>
      </c>
      <c r="S5" s="10" t="inlineStr">
        <is>
          <t>—</t>
        </is>
      </c>
    </row>
    <row r="6">
      <c r="A6" s="6" t="inlineStr">
        <is>
          <t>2023-09-01</t>
        </is>
      </c>
      <c r="B6" s="7" t="n">
        <v>323218.4</v>
      </c>
      <c r="C6" s="7" t="n">
        <v>422472.24</v>
      </c>
      <c r="D6" s="7" t="n">
        <v>331426.59</v>
      </c>
      <c r="E6" s="8">
        <f>IF(C6="","",B6/C6)</f>
        <v/>
      </c>
      <c r="F6" s="9">
        <f>IF(E6="","",E6*100)</f>
        <v/>
      </c>
      <c r="G6" s="8">
        <f>B6/D6</f>
        <v/>
      </c>
      <c r="H6" s="9">
        <f>G6*100</f>
        <v/>
      </c>
      <c r="I6" s="9">
        <f>IF(F6="","",H6-F6)</f>
        <v/>
      </c>
      <c r="J6" s="9">
        <f>H6-H5</f>
        <v/>
      </c>
      <c r="K6" s="11">
        <f>(D6-D5)/D5*100</f>
        <v/>
      </c>
      <c r="L6" s="11">
        <f>(B6-B5)/B5*100</f>
        <v/>
      </c>
      <c r="M6" s="12">
        <f>IF(AND(K6&lt;=por_sk,L6&gt;=por_zaim),"оба",IF(K6&lt;=por_sk,"СК",IF(L6&gt;=por_zaim,"Займ","")))</f>
        <v/>
      </c>
      <c r="N6" s="8" t="n">
        <v>0.01849831153</v>
      </c>
      <c r="O6" s="9">
        <f>N6*100</f>
        <v/>
      </c>
      <c r="P6" s="9">
        <f>O6-O5</f>
        <v/>
      </c>
      <c r="Q6" s="8" t="n">
        <v>-0.00579114117</v>
      </c>
      <c r="R6" s="9">
        <f>Q6*100</f>
        <v/>
      </c>
      <c r="S6" s="9">
        <f>R6-R5</f>
        <v/>
      </c>
    </row>
    <row r="7">
      <c r="A7" s="6" t="inlineStr">
        <is>
          <t>2023-10-01</t>
        </is>
      </c>
      <c r="B7" s="7" t="n">
        <v>327285</v>
      </c>
      <c r="C7" s="7" t="n">
        <v>429717.914</v>
      </c>
      <c r="D7" s="7" t="n">
        <v>339057.933</v>
      </c>
      <c r="E7" s="8">
        <f>IF(C7="","",B7/C7)</f>
        <v/>
      </c>
      <c r="F7" s="9">
        <f>IF(E7="","",E7*100)</f>
        <v/>
      </c>
      <c r="G7" s="8">
        <f>B7/D7</f>
        <v/>
      </c>
      <c r="H7" s="9">
        <f>G7*100</f>
        <v/>
      </c>
      <c r="I7" s="9">
        <f>IF(F7="","",H7-F7)</f>
        <v/>
      </c>
      <c r="J7" s="9">
        <f>H7-H6</f>
        <v/>
      </c>
      <c r="K7" s="11">
        <f>(D7-D6)/D6*100</f>
        <v/>
      </c>
      <c r="L7" s="11">
        <f>(B7-B6)/B6*100</f>
        <v/>
      </c>
      <c r="M7" s="12">
        <f>IF(AND(K7&lt;=por_sk,L7&gt;=por_zaim),"оба",IF(K7&lt;=por_sk,"СК",IF(L7&gt;=por_zaim,"Займ","")))</f>
        <v/>
      </c>
      <c r="N7" s="8" t="n">
        <v>0.01147588798</v>
      </c>
      <c r="O7" s="9">
        <f>N7*100</f>
        <v/>
      </c>
      <c r="P7" s="9">
        <f>O7-O6</f>
        <v/>
      </c>
      <c r="Q7" s="8" t="n">
        <v>-0.007801331225</v>
      </c>
      <c r="R7" s="9">
        <f>Q7*100</f>
        <v/>
      </c>
      <c r="S7" s="9">
        <f>R7-R6</f>
        <v/>
      </c>
    </row>
    <row r="8">
      <c r="A8" s="6" t="inlineStr">
        <is>
          <t>2023-11-01</t>
        </is>
      </c>
      <c r="B8" s="7" t="n">
        <v>338817.1</v>
      </c>
      <c r="C8" s="7" t="n">
        <v>438451.715</v>
      </c>
      <c r="D8" s="7" t="n">
        <v>348167.431</v>
      </c>
      <c r="E8" s="8">
        <f>IF(C8="","",B8/C8)</f>
        <v/>
      </c>
      <c r="F8" s="9">
        <f>IF(E8="","",E8*100)</f>
        <v/>
      </c>
      <c r="G8" s="8">
        <f>B8/D8</f>
        <v/>
      </c>
      <c r="H8" s="9">
        <f>G8*100</f>
        <v/>
      </c>
      <c r="I8" s="9">
        <f>IF(F8="","",H8-F8)</f>
        <v/>
      </c>
      <c r="J8" s="9">
        <f>H8-H7</f>
        <v/>
      </c>
      <c r="K8" s="11">
        <f>(D8-D7)/D7*100</f>
        <v/>
      </c>
      <c r="L8" s="11">
        <f>(B8-B7)/B7*100</f>
        <v/>
      </c>
      <c r="M8" s="12">
        <f>IF(AND(K8&lt;=por_sk,L8&gt;=por_zaim),"оба",IF(K8&lt;=por_sk,"СК",IF(L8&gt;=por_zaim,"Займ","")))</f>
        <v/>
      </c>
      <c r="N8" s="8" t="n">
        <v>0.002161916772</v>
      </c>
      <c r="O8" s="9">
        <f>N8*100</f>
        <v/>
      </c>
      <c r="P8" s="9">
        <f>O8-O7</f>
        <v/>
      </c>
      <c r="Q8" s="8" t="n">
        <v>-0.01204133968</v>
      </c>
      <c r="R8" s="9">
        <f>Q8*100</f>
        <v/>
      </c>
      <c r="S8" s="9">
        <f>R8-R7</f>
        <v/>
      </c>
    </row>
    <row r="9">
      <c r="A9" s="6" t="inlineStr">
        <is>
          <t>2023-12-01</t>
        </is>
      </c>
      <c r="B9" s="7" t="n">
        <v>343497.7</v>
      </c>
      <c r="C9" s="7" t="n">
        <v>443261.608</v>
      </c>
      <c r="D9" s="7" t="n">
        <v>353304.973</v>
      </c>
      <c r="E9" s="8">
        <f>IF(C9="","",B9/C9)</f>
        <v/>
      </c>
      <c r="F9" s="9">
        <f>IF(E9="","",E9*100)</f>
        <v/>
      </c>
      <c r="G9" s="8">
        <f>B9/D9</f>
        <v/>
      </c>
      <c r="H9" s="9">
        <f>G9*100</f>
        <v/>
      </c>
      <c r="I9" s="9">
        <f>IF(F9="","",H9-F9)</f>
        <v/>
      </c>
      <c r="J9" s="9">
        <f>H9-H8</f>
        <v/>
      </c>
      <c r="K9" s="11">
        <f>(D9-D8)/D8*100</f>
        <v/>
      </c>
      <c r="L9" s="11">
        <f>(B9-B8)/B8*100</f>
        <v/>
      </c>
      <c r="M9" s="12">
        <f>IF(AND(K9&lt;=por_sk,L9&gt;=por_zaim),"оба",IF(K9&lt;=por_sk,"СК",IF(L9&gt;=por_zaim,"Займ","")))</f>
        <v/>
      </c>
      <c r="N9" s="8" t="n">
        <v>-0.0007643165415</v>
      </c>
      <c r="O9" s="9">
        <f>N9*100</f>
        <v/>
      </c>
      <c r="P9" s="9">
        <f>O9-O8</f>
        <v/>
      </c>
      <c r="Q9" s="8" t="n">
        <v>-0.01072642329</v>
      </c>
      <c r="R9" s="9">
        <f>Q9*100</f>
        <v/>
      </c>
      <c r="S9" s="9">
        <f>R9-R8</f>
        <v/>
      </c>
    </row>
    <row r="10">
      <c r="A10" s="6" t="inlineStr">
        <is>
          <t>2024-01-01</t>
        </is>
      </c>
      <c r="B10" s="7" t="n">
        <v>372019.3</v>
      </c>
      <c r="C10" s="7" t="n">
        <v>440898.148</v>
      </c>
      <c r="D10" s="7" t="n">
        <v>351291.897</v>
      </c>
      <c r="E10" s="8">
        <f>IF(C10="","",B10/C10)</f>
        <v/>
      </c>
      <c r="F10" s="9">
        <f>IF(E10="","",E10*100)</f>
        <v/>
      </c>
      <c r="G10" s="8">
        <f>B10/D10</f>
        <v/>
      </c>
      <c r="H10" s="9">
        <f>G10*100</f>
        <v/>
      </c>
      <c r="I10" s="9">
        <f>IF(F10="","",H10-F10)</f>
        <v/>
      </c>
      <c r="J10" s="9">
        <f>H10-H9</f>
        <v/>
      </c>
      <c r="K10" s="11">
        <f>(D10-D9)/D9*100</f>
        <v/>
      </c>
      <c r="L10" s="11">
        <f>(B10-B9)/B9*100</f>
        <v/>
      </c>
      <c r="M10" s="12">
        <f>IF(AND(K10&lt;=por_sk,L10&gt;=por_zaim),"оба",IF(K10&lt;=por_sk,"СК",IF(L10&gt;=por_zaim,"Займ","")))</f>
        <v/>
      </c>
      <c r="N10" s="8" t="n">
        <v>-0.01934343416</v>
      </c>
      <c r="O10" s="9">
        <f>N10*100</f>
        <v/>
      </c>
      <c r="P10" s="9">
        <f>O10-O9</f>
        <v/>
      </c>
      <c r="Q10" s="8" t="n">
        <v>-0.01082676031</v>
      </c>
      <c r="R10" s="9">
        <f>Q10*100</f>
        <v/>
      </c>
      <c r="S10" s="9">
        <f>R10-R9</f>
        <v/>
      </c>
    </row>
    <row r="11">
      <c r="A11" s="6" t="inlineStr">
        <is>
          <t>2024-02-01</t>
        </is>
      </c>
      <c r="B11" s="7" t="n">
        <v>359821.6</v>
      </c>
      <c r="C11" s="7" t="n">
        <v>453740.463</v>
      </c>
      <c r="D11" s="7" t="n">
        <v>364498.163</v>
      </c>
      <c r="E11" s="8">
        <f>IF(C11="","",B11/C11)</f>
        <v/>
      </c>
      <c r="F11" s="9">
        <f>IF(E11="","",E11*100)</f>
        <v/>
      </c>
      <c r="G11" s="8">
        <f>B11/D11</f>
        <v/>
      </c>
      <c r="H11" s="9">
        <f>G11*100</f>
        <v/>
      </c>
      <c r="I11" s="9">
        <f>IF(F11="","",H11-F11)</f>
        <v/>
      </c>
      <c r="J11" s="9">
        <f>H11-H10</f>
        <v/>
      </c>
      <c r="K11" s="11">
        <f>(D11-D10)/D10*100</f>
        <v/>
      </c>
      <c r="L11" s="11">
        <f>(B11-B10)/B10*100</f>
        <v/>
      </c>
      <c r="M11" s="12">
        <f>IF(AND(K11&lt;=por_sk,L11&gt;=por_zaim),"оба",IF(K11&lt;=por_sk,"СК",IF(L11&gt;=por_zaim,"Займ","")))</f>
        <v/>
      </c>
      <c r="N11" s="8" t="n">
        <v>-0.07640116130000001</v>
      </c>
      <c r="O11" s="9">
        <f>N11*100</f>
        <v/>
      </c>
      <c r="P11" s="9">
        <f>O11-O10</f>
        <v/>
      </c>
      <c r="Q11" s="8" t="n">
        <v>-0.02131495621</v>
      </c>
      <c r="R11" s="9">
        <f>Q11*100</f>
        <v/>
      </c>
      <c r="S11" s="9">
        <f>R11-R10</f>
        <v/>
      </c>
    </row>
    <row r="12">
      <c r="A12" s="6" t="inlineStr">
        <is>
          <t>2024-03-01</t>
        </is>
      </c>
      <c r="B12" s="7" t="n">
        <v>371215.4</v>
      </c>
      <c r="C12" s="7" t="n">
        <v>472963.535</v>
      </c>
      <c r="D12" s="7" t="n">
        <v>384072.879</v>
      </c>
      <c r="E12" s="8">
        <f>IF(C12="","",B12/C12)</f>
        <v/>
      </c>
      <c r="F12" s="9">
        <f>IF(E12="","",E12*100)</f>
        <v/>
      </c>
      <c r="G12" s="8">
        <f>B12/D12</f>
        <v/>
      </c>
      <c r="H12" s="9">
        <f>G12*100</f>
        <v/>
      </c>
      <c r="I12" s="9">
        <f>IF(F12="","",H12-F12)</f>
        <v/>
      </c>
      <c r="J12" s="9">
        <f>H12-H11</f>
        <v/>
      </c>
      <c r="K12" s="11">
        <f>(D12-D11)/D11*100</f>
        <v/>
      </c>
      <c r="L12" s="11">
        <f>(B12-B11)/B11*100</f>
        <v/>
      </c>
      <c r="M12" s="12">
        <f>IF(AND(K12&lt;=por_sk,L12&gt;=por_zaim),"оба",IF(K12&lt;=por_sk,"СК",IF(L12&gt;=por_zaim,"Займ","")))</f>
        <v/>
      </c>
      <c r="N12" s="8" t="n">
        <v>-0.04723198444</v>
      </c>
      <c r="O12" s="9">
        <f>N12*100</f>
        <v/>
      </c>
      <c r="P12" s="9">
        <f>O12-O11</f>
        <v/>
      </c>
      <c r="Q12" s="8" t="n">
        <v>-0.005127557633</v>
      </c>
      <c r="R12" s="9">
        <f>Q12*100</f>
        <v/>
      </c>
      <c r="S12" s="9">
        <f>R12-R11</f>
        <v/>
      </c>
    </row>
    <row r="13">
      <c r="A13" s="6" t="inlineStr">
        <is>
          <t>2024-04-01</t>
        </is>
      </c>
      <c r="B13" s="7" t="n">
        <v>363473</v>
      </c>
      <c r="C13" s="7" t="n">
        <v>484711.53</v>
      </c>
      <c r="D13" s="7" t="n">
        <v>396208.88</v>
      </c>
      <c r="E13" s="8">
        <f>IF(C13="","",B13/C13)</f>
        <v/>
      </c>
      <c r="F13" s="9">
        <f>IF(E13="","",E13*100)</f>
        <v/>
      </c>
      <c r="G13" s="8">
        <f>B13/D13</f>
        <v/>
      </c>
      <c r="H13" s="9">
        <f>G13*100</f>
        <v/>
      </c>
      <c r="I13" s="9">
        <f>IF(F13="","",H13-F13)</f>
        <v/>
      </c>
      <c r="J13" s="9">
        <f>H13-H12</f>
        <v/>
      </c>
      <c r="K13" s="11">
        <f>(D13-D12)/D12*100</f>
        <v/>
      </c>
      <c r="L13" s="11">
        <f>(B13-B12)/B12*100</f>
        <v/>
      </c>
      <c r="M13" s="12">
        <f>IF(AND(K13&lt;=por_sk,L13&gt;=por_zaim),"оба",IF(K13&lt;=por_sk,"СК",IF(L13&gt;=por_zaim,"Займ","")))</f>
        <v/>
      </c>
      <c r="N13" s="8" t="n">
        <v>-0.03942940539</v>
      </c>
      <c r="O13" s="9">
        <f>N13*100</f>
        <v/>
      </c>
      <c r="P13" s="9">
        <f>O13-O12</f>
        <v/>
      </c>
      <c r="Q13" s="8" t="n">
        <v>-0.01074181497</v>
      </c>
      <c r="R13" s="9">
        <f>Q13*100</f>
        <v/>
      </c>
      <c r="S13" s="9">
        <f>R13-R12</f>
        <v/>
      </c>
    </row>
    <row r="14">
      <c r="A14" s="6" t="inlineStr">
        <is>
          <t>2024-05-01</t>
        </is>
      </c>
      <c r="B14" s="7" t="n">
        <v>357665.7</v>
      </c>
      <c r="C14" s="7" t="n">
        <v>489303.468</v>
      </c>
      <c r="D14" s="7" t="n">
        <v>401188.386</v>
      </c>
      <c r="E14" s="8">
        <f>IF(C14="","",B14/C14)</f>
        <v/>
      </c>
      <c r="F14" s="9">
        <f>IF(E14="","",E14*100)</f>
        <v/>
      </c>
      <c r="G14" s="8">
        <f>B14/D14</f>
        <v/>
      </c>
      <c r="H14" s="9">
        <f>G14*100</f>
        <v/>
      </c>
      <c r="I14" s="9">
        <f>IF(F14="","",H14-F14)</f>
        <v/>
      </c>
      <c r="J14" s="9">
        <f>H14-H13</f>
        <v/>
      </c>
      <c r="K14" s="11">
        <f>(D14-D13)/D13*100</f>
        <v/>
      </c>
      <c r="L14" s="11">
        <f>(B14-B13)/B13*100</f>
        <v/>
      </c>
      <c r="M14" s="12">
        <f>IF(AND(K14&lt;=por_sk,L14&gt;=por_zaim),"оба",IF(K14&lt;=por_sk,"СК",IF(L14&gt;=por_zaim,"Займ","")))</f>
        <v/>
      </c>
      <c r="N14" s="8" t="n">
        <v>-0.03338889616</v>
      </c>
      <c r="O14" s="9">
        <f>N14*100</f>
        <v/>
      </c>
      <c r="P14" s="9">
        <f>O14-O13</f>
        <v/>
      </c>
      <c r="Q14" s="8" t="n">
        <v>-0.007195272051</v>
      </c>
      <c r="R14" s="9">
        <f>Q14*100</f>
        <v/>
      </c>
      <c r="S14" s="9">
        <f>R14-R13</f>
        <v/>
      </c>
    </row>
    <row r="15">
      <c r="A15" s="6" t="inlineStr">
        <is>
          <t>2024-06-01</t>
        </is>
      </c>
      <c r="B15" s="7" t="n">
        <v>360756.5</v>
      </c>
      <c r="C15" s="7" t="n">
        <v>491481.953</v>
      </c>
      <c r="D15" s="7" t="n">
        <v>403780.012</v>
      </c>
      <c r="E15" s="8">
        <f>IF(C15="","",B15/C15)</f>
        <v/>
      </c>
      <c r="F15" s="9">
        <f>IF(E15="","",E15*100)</f>
        <v/>
      </c>
      <c r="G15" s="8">
        <f>B15/D15</f>
        <v/>
      </c>
      <c r="H15" s="9">
        <f>G15*100</f>
        <v/>
      </c>
      <c r="I15" s="9">
        <f>IF(F15="","",H15-F15)</f>
        <v/>
      </c>
      <c r="J15" s="9">
        <f>H15-H14</f>
        <v/>
      </c>
      <c r="K15" s="11">
        <f>(D15-D14)/D14*100</f>
        <v/>
      </c>
      <c r="L15" s="11">
        <f>(B15-B14)/B14*100</f>
        <v/>
      </c>
      <c r="M15" s="12">
        <f>IF(AND(K15&lt;=por_sk,L15&gt;=por_zaim),"оба",IF(K15&lt;=por_sk,"СК",IF(L15&gt;=por_zaim,"Займ","")))</f>
        <v/>
      </c>
      <c r="N15" s="8" t="n">
        <v>-0.02467543678</v>
      </c>
      <c r="O15" s="9">
        <f>N15*100</f>
        <v/>
      </c>
      <c r="P15" s="9">
        <f>O15-O14</f>
        <v/>
      </c>
      <c r="Q15" s="8" t="n">
        <v>-0.006528664751</v>
      </c>
      <c r="R15" s="9">
        <f>Q15*100</f>
        <v/>
      </c>
      <c r="S15" s="9">
        <f>R15-R14</f>
        <v/>
      </c>
    </row>
    <row r="16">
      <c r="A16" s="6" t="inlineStr">
        <is>
          <t>2024-07-01</t>
        </is>
      </c>
      <c r="B16" s="7" t="n">
        <v>362413.9</v>
      </c>
      <c r="C16" s="7" t="n">
        <v>492537.194</v>
      </c>
      <c r="D16" s="7" t="n">
        <v>405247.486</v>
      </c>
      <c r="E16" s="8">
        <f>IF(C16="","",B16/C16)</f>
        <v/>
      </c>
      <c r="F16" s="9">
        <f>IF(E16="","",E16*100)</f>
        <v/>
      </c>
      <c r="G16" s="8">
        <f>B16/D16</f>
        <v/>
      </c>
      <c r="H16" s="9">
        <f>G16*100</f>
        <v/>
      </c>
      <c r="I16" s="9">
        <f>IF(F16="","",H16-F16)</f>
        <v/>
      </c>
      <c r="J16" s="9">
        <f>H16-H15</f>
        <v/>
      </c>
      <c r="K16" s="11">
        <f>(D16-D15)/D15*100</f>
        <v/>
      </c>
      <c r="L16" s="11">
        <f>(B16-B15)/B15*100</f>
        <v/>
      </c>
      <c r="M16" s="12">
        <f>IF(AND(K16&lt;=por_sk,L16&gt;=por_zaim),"оба",IF(K16&lt;=por_sk,"СК",IF(L16&gt;=por_zaim,"Займ","")))</f>
        <v/>
      </c>
      <c r="N16" s="8" t="n">
        <v>-0.02244619422</v>
      </c>
      <c r="O16" s="9">
        <f>N16*100</f>
        <v/>
      </c>
      <c r="P16" s="9">
        <f>O16-O15</f>
        <v/>
      </c>
      <c r="Q16" s="8" t="n">
        <v>-0.003885496881</v>
      </c>
      <c r="R16" s="9">
        <f>Q16*100</f>
        <v/>
      </c>
      <c r="S16" s="9">
        <f>R16-R15</f>
        <v/>
      </c>
    </row>
    <row r="17">
      <c r="A17" s="6" t="inlineStr">
        <is>
          <t>2024-08-01</t>
        </is>
      </c>
      <c r="B17" s="7" t="n">
        <v>358163.4</v>
      </c>
      <c r="C17" s="7" t="n">
        <v>504710.465</v>
      </c>
      <c r="D17" s="7" t="n">
        <v>417859.74</v>
      </c>
      <c r="E17" s="8">
        <f>IF(C17="","",B17/C17)</f>
        <v/>
      </c>
      <c r="F17" s="9">
        <f>IF(E17="","",E17*100)</f>
        <v/>
      </c>
      <c r="G17" s="8">
        <f>B17/D17</f>
        <v/>
      </c>
      <c r="H17" s="9">
        <f>G17*100</f>
        <v/>
      </c>
      <c r="I17" s="9">
        <f>IF(F17="","",H17-F17)</f>
        <v/>
      </c>
      <c r="J17" s="9">
        <f>H17-H16</f>
        <v/>
      </c>
      <c r="K17" s="11">
        <f>(D17-D16)/D16*100</f>
        <v/>
      </c>
      <c r="L17" s="11">
        <f>(B17-B16)/B16*100</f>
        <v/>
      </c>
      <c r="M17" s="12">
        <f>IF(AND(K17&lt;=por_sk,L17&gt;=por_zaim),"оба",IF(K17&lt;=por_sk,"СК",IF(L17&gt;=por_zaim,"Займ","")))</f>
        <v/>
      </c>
      <c r="N17" s="8" t="n">
        <v>-0.02150985885</v>
      </c>
      <c r="O17" s="9">
        <f>N17*100</f>
        <v/>
      </c>
      <c r="P17" s="9">
        <f>O17-O16</f>
        <v/>
      </c>
      <c r="Q17" s="8" t="n">
        <v>-0.004445886419</v>
      </c>
      <c r="R17" s="9">
        <f>Q17*100</f>
        <v/>
      </c>
      <c r="S17" s="9">
        <f>R17-R16</f>
        <v/>
      </c>
    </row>
    <row r="18">
      <c r="A18" s="6" t="inlineStr">
        <is>
          <t>2024-09-01</t>
        </is>
      </c>
      <c r="B18" s="7" t="n">
        <v>379875.3</v>
      </c>
      <c r="C18" s="7" t="n">
        <v>507597.081</v>
      </c>
      <c r="D18" s="7" t="n">
        <v>421198.748</v>
      </c>
      <c r="E18" s="8">
        <f>IF(C18="","",B18/C18)</f>
        <v/>
      </c>
      <c r="F18" s="9">
        <f>IF(E18="","",E18*100)</f>
        <v/>
      </c>
      <c r="G18" s="8">
        <f>B18/D18</f>
        <v/>
      </c>
      <c r="H18" s="9">
        <f>G18*100</f>
        <v/>
      </c>
      <c r="I18" s="9">
        <f>IF(F18="","",H18-F18)</f>
        <v/>
      </c>
      <c r="J18" s="9">
        <f>H18-H17</f>
        <v/>
      </c>
      <c r="K18" s="11">
        <f>(D18-D17)/D17*100</f>
        <v/>
      </c>
      <c r="L18" s="11">
        <f>(B18-B17)/B17*100</f>
        <v/>
      </c>
      <c r="M18" s="12">
        <f>IF(AND(K18&lt;=por_sk,L18&gt;=por_zaim),"оба",IF(K18&lt;=por_sk,"СК",IF(L18&gt;=por_zaim,"Займ","")))</f>
        <v/>
      </c>
      <c r="N18" s="8" t="n">
        <v>-0.02154768059</v>
      </c>
      <c r="O18" s="9">
        <f>N18*100</f>
        <v/>
      </c>
      <c r="P18" s="9">
        <f>O18-O17</f>
        <v/>
      </c>
      <c r="Q18" s="8" t="n">
        <v>-0.003033472516</v>
      </c>
      <c r="R18" s="9">
        <f>Q18*100</f>
        <v/>
      </c>
      <c r="S18" s="9">
        <f>R18-R17</f>
        <v/>
      </c>
    </row>
    <row r="19">
      <c r="A19" s="6" t="inlineStr">
        <is>
          <t>2024-10-01</t>
        </is>
      </c>
      <c r="B19" s="7" t="n">
        <v>384443.9</v>
      </c>
      <c r="C19" s="7" t="n">
        <v>510558.266</v>
      </c>
      <c r="D19" s="7" t="n">
        <v>424610.677</v>
      </c>
      <c r="E19" s="8">
        <f>IF(C19="","",B19/C19)</f>
        <v/>
      </c>
      <c r="F19" s="9">
        <f>IF(E19="","",E19*100)</f>
        <v/>
      </c>
      <c r="G19" s="8">
        <f>B19/D19</f>
        <v/>
      </c>
      <c r="H19" s="9">
        <f>G19*100</f>
        <v/>
      </c>
      <c r="I19" s="9">
        <f>IF(F19="","",H19-F19)</f>
        <v/>
      </c>
      <c r="J19" s="9">
        <f>H19-H18</f>
        <v/>
      </c>
      <c r="K19" s="11">
        <f>(D19-D18)/D18*100</f>
        <v/>
      </c>
      <c r="L19" s="11">
        <f>(B19-B18)/B18*100</f>
        <v/>
      </c>
      <c r="M19" s="12">
        <f>IF(AND(K19&lt;=por_sk,L19&gt;=por_zaim),"оба",IF(K19&lt;=por_sk,"СК",IF(L19&gt;=por_zaim,"Займ","")))</f>
        <v/>
      </c>
      <c r="N19" s="8" t="n">
        <v>-0.01964265338</v>
      </c>
      <c r="O19" s="9">
        <f>N19*100</f>
        <v/>
      </c>
      <c r="P19" s="9">
        <f>O19-O18</f>
        <v/>
      </c>
      <c r="Q19" s="8" t="n">
        <v>-0.003726465017</v>
      </c>
      <c r="R19" s="9">
        <f>Q19*100</f>
        <v/>
      </c>
      <c r="S19" s="9">
        <f>R19-R18</f>
        <v/>
      </c>
    </row>
    <row r="20">
      <c r="A20" s="6" t="inlineStr">
        <is>
          <t>2024-11-01</t>
        </is>
      </c>
      <c r="B20" s="7" t="n">
        <v>376972.2</v>
      </c>
      <c r="C20" s="7" t="n">
        <v>525225.334</v>
      </c>
      <c r="D20" s="7" t="n">
        <v>439721.605</v>
      </c>
      <c r="E20" s="8">
        <f>IF(C20="","",B20/C20)</f>
        <v/>
      </c>
      <c r="F20" s="9">
        <f>IF(E20="","",E20*100)</f>
        <v/>
      </c>
      <c r="G20" s="8">
        <f>B20/D20</f>
        <v/>
      </c>
      <c r="H20" s="9">
        <f>G20*100</f>
        <v/>
      </c>
      <c r="I20" s="9">
        <f>IF(F20="","",H20-F20)</f>
        <v/>
      </c>
      <c r="J20" s="9">
        <f>H20-H19</f>
        <v/>
      </c>
      <c r="K20" s="11">
        <f>(D20-D19)/D19*100</f>
        <v/>
      </c>
      <c r="L20" s="11">
        <f>(B20-B19)/B19*100</f>
        <v/>
      </c>
      <c r="M20" s="12">
        <f>IF(AND(K20&lt;=por_sk,L20&gt;=por_zaim),"оба",IF(K20&lt;=por_sk,"СК",IF(L20&gt;=por_zaim,"Займ","")))</f>
        <v/>
      </c>
      <c r="N20" s="8" t="n">
        <v>-0.01965703002</v>
      </c>
      <c r="O20" s="9">
        <f>N20*100</f>
        <v/>
      </c>
      <c r="P20" s="9">
        <f>O20-O19</f>
        <v/>
      </c>
      <c r="Q20" s="8" t="n">
        <v>-0.008698807542</v>
      </c>
      <c r="R20" s="9">
        <f>Q20*100</f>
        <v/>
      </c>
      <c r="S20" s="9">
        <f>R20-R19</f>
        <v/>
      </c>
    </row>
    <row r="21">
      <c r="A21" s="6" t="inlineStr">
        <is>
          <t>2024-12-01</t>
        </is>
      </c>
      <c r="B21" s="7" t="n">
        <v>382966.5</v>
      </c>
      <c r="C21" s="7" t="n">
        <v>529015.162</v>
      </c>
      <c r="D21" s="7" t="n">
        <v>443905.946</v>
      </c>
      <c r="E21" s="8">
        <f>IF(C21="","",B21/C21)</f>
        <v/>
      </c>
      <c r="F21" s="9">
        <f>IF(E21="","",E21*100)</f>
        <v/>
      </c>
      <c r="G21" s="8">
        <f>B21/D21</f>
        <v/>
      </c>
      <c r="H21" s="9">
        <f>G21*100</f>
        <v/>
      </c>
      <c r="I21" s="9">
        <f>IF(F21="","",H21-F21)</f>
        <v/>
      </c>
      <c r="J21" s="9">
        <f>H21-H20</f>
        <v/>
      </c>
      <c r="K21" s="11">
        <f>(D21-D20)/D20*100</f>
        <v/>
      </c>
      <c r="L21" s="11">
        <f>(B21-B20)/B20*100</f>
        <v/>
      </c>
      <c r="M21" s="12">
        <f>IF(AND(K21&lt;=por_sk,L21&gt;=por_zaim),"оба",IF(K21&lt;=por_sk,"СК",IF(L21&gt;=por_zaim,"Займ","")))</f>
        <v/>
      </c>
      <c r="N21" s="8" t="n">
        <v>-0.0150945606</v>
      </c>
      <c r="O21" s="9">
        <f>N21*100</f>
        <v/>
      </c>
      <c r="P21" s="9">
        <f>O21-O20</f>
        <v/>
      </c>
      <c r="Q21" s="8" t="n">
        <v>-0.005250378502</v>
      </c>
      <c r="R21" s="9">
        <f>Q21*100</f>
        <v/>
      </c>
      <c r="S21" s="9">
        <f>R21-R20</f>
        <v/>
      </c>
    </row>
    <row r="22">
      <c r="A22" s="6" t="inlineStr">
        <is>
          <t>2025-01-01</t>
        </is>
      </c>
      <c r="B22" s="7" t="n">
        <v>378199.4</v>
      </c>
      <c r="C22" s="7" t="n">
        <v>545923.954</v>
      </c>
      <c r="D22" s="7" t="n">
        <v>461235.157</v>
      </c>
      <c r="E22" s="8">
        <f>IF(C22="","",B22/C22)</f>
        <v/>
      </c>
      <c r="F22" s="9">
        <f>IF(E22="","",E22*100)</f>
        <v/>
      </c>
      <c r="G22" s="8">
        <f>B22/D22</f>
        <v/>
      </c>
      <c r="H22" s="9">
        <f>G22*100</f>
        <v/>
      </c>
      <c r="I22" s="9">
        <f>IF(F22="","",H22-F22)</f>
        <v/>
      </c>
      <c r="J22" s="9">
        <f>H22-H21</f>
        <v/>
      </c>
      <c r="K22" s="11">
        <f>(D22-D21)/D21*100</f>
        <v/>
      </c>
      <c r="L22" s="11">
        <f>(B22-B21)/B21*100</f>
        <v/>
      </c>
      <c r="M22" s="12">
        <f>IF(AND(K22&lt;=por_sk,L22&gt;=por_zaim),"оба",IF(K22&lt;=por_sk,"СК",IF(L22&gt;=por_zaim,"Займ","")))</f>
        <v/>
      </c>
      <c r="N22" s="8" t="n">
        <v>-0.01772711736</v>
      </c>
      <c r="O22" s="9">
        <f>N22*100</f>
        <v/>
      </c>
      <c r="P22" s="9">
        <f>O22-O21</f>
        <v/>
      </c>
      <c r="Q22" s="8" t="n">
        <v>-0.006975086918</v>
      </c>
      <c r="R22" s="9">
        <f>Q22*100</f>
        <v/>
      </c>
      <c r="S22" s="9">
        <f>R22-R21</f>
        <v/>
      </c>
    </row>
    <row r="23">
      <c r="A23" s="6" t="inlineStr">
        <is>
          <t>2025-02-01</t>
        </is>
      </c>
      <c r="B23" s="7" t="n">
        <v>370820.7</v>
      </c>
      <c r="C23" s="7" t="n">
        <v>547253.772</v>
      </c>
      <c r="D23" s="7" t="n">
        <v>462997.148</v>
      </c>
      <c r="E23" s="8">
        <f>IF(C23="","",B23/C23)</f>
        <v/>
      </c>
      <c r="F23" s="9">
        <f>IF(E23="","",E23*100)</f>
        <v/>
      </c>
      <c r="G23" s="8">
        <f>B23/D23</f>
        <v/>
      </c>
      <c r="H23" s="9">
        <f>G23*100</f>
        <v/>
      </c>
      <c r="I23" s="9">
        <f>IF(F23="","",H23-F23)</f>
        <v/>
      </c>
      <c r="J23" s="9">
        <f>H23-H22</f>
        <v/>
      </c>
      <c r="K23" s="11">
        <f>(D23-D22)/D22*100</f>
        <v/>
      </c>
      <c r="L23" s="11">
        <f>(B23-B22)/B22*100</f>
        <v/>
      </c>
      <c r="M23" s="12">
        <f>IF(AND(K23&lt;=por_sk,L23&gt;=por_zaim),"оба",IF(K23&lt;=por_sk,"СК",IF(L23&gt;=por_zaim,"Займ","")))</f>
        <v/>
      </c>
      <c r="N23" s="8" t="n">
        <v>-0.004185664846</v>
      </c>
      <c r="O23" s="9">
        <f>N23*100</f>
        <v/>
      </c>
      <c r="P23" s="9">
        <f>O23-O22</f>
        <v/>
      </c>
      <c r="Q23" s="8" t="n">
        <v>-0.009348784968</v>
      </c>
      <c r="R23" s="9">
        <f>Q23*100</f>
        <v/>
      </c>
      <c r="S23" s="9">
        <f>R23-R22</f>
        <v/>
      </c>
    </row>
    <row r="24">
      <c r="A24" s="6" t="inlineStr">
        <is>
          <t>2025-03-01</t>
        </is>
      </c>
      <c r="B24" s="7" t="n">
        <v>367097.44</v>
      </c>
      <c r="C24" s="7" t="n">
        <v>550880.598</v>
      </c>
      <c r="D24" s="7" t="n">
        <v>467025.778</v>
      </c>
      <c r="E24" s="8">
        <f>IF(C24="","",B24/C24)</f>
        <v/>
      </c>
      <c r="F24" s="9">
        <f>IF(E24="","",E24*100)</f>
        <v/>
      </c>
      <c r="G24" s="8">
        <f>B24/D24</f>
        <v/>
      </c>
      <c r="H24" s="9">
        <f>G24*100</f>
        <v/>
      </c>
      <c r="I24" s="9">
        <f>IF(F24="","",H24-F24)</f>
        <v/>
      </c>
      <c r="J24" s="9">
        <f>H24-H23</f>
        <v/>
      </c>
      <c r="K24" s="11">
        <f>(D24-D23)/D23*100</f>
        <v/>
      </c>
      <c r="L24" s="11">
        <f>(B24-B23)/B23*100</f>
        <v/>
      </c>
      <c r="M24" s="12">
        <f>IF(AND(K24&lt;=por_sk,L24&gt;=por_zaim),"оба",IF(K24&lt;=por_sk,"СК",IF(L24&gt;=por_zaim,"Займ","")))</f>
        <v/>
      </c>
      <c r="N24" s="8" t="n">
        <v>-0.006042909793</v>
      </c>
      <c r="O24" s="9">
        <f>N24*100</f>
        <v/>
      </c>
      <c r="P24" s="9">
        <f>O24-O23</f>
        <v/>
      </c>
      <c r="Q24" s="8" t="n">
        <v>-0.03407189028</v>
      </c>
      <c r="R24" s="9">
        <f>Q24*100</f>
        <v/>
      </c>
      <c r="S24" s="9">
        <f>R24-R23</f>
        <v/>
      </c>
    </row>
    <row r="25">
      <c r="A25" s="6" t="inlineStr">
        <is>
          <t>2025-04-01</t>
        </is>
      </c>
      <c r="B25" s="7" t="n">
        <v>395318.8</v>
      </c>
      <c r="C25" s="7" t="n">
        <v>535450.627</v>
      </c>
      <c r="D25" s="7" t="n">
        <v>452053.517</v>
      </c>
      <c r="E25" s="8">
        <f>IF(C25="","",B25/C25)</f>
        <v/>
      </c>
      <c r="F25" s="9">
        <f>IF(E25="","",E25*100)</f>
        <v/>
      </c>
      <c r="G25" s="8">
        <f>B25/D25</f>
        <v/>
      </c>
      <c r="H25" s="9">
        <f>G25*100</f>
        <v/>
      </c>
      <c r="I25" s="9">
        <f>IF(F25="","",H25-F25)</f>
        <v/>
      </c>
      <c r="J25" s="9">
        <f>H25-H24</f>
        <v/>
      </c>
      <c r="K25" s="11">
        <f>(D25-D24)/D24*100</f>
        <v/>
      </c>
      <c r="L25" s="11">
        <f>(B25-B24)/B24*100</f>
        <v/>
      </c>
      <c r="M25" s="12">
        <f>IF(AND(K25&lt;=por_sk,L25&gt;=por_zaim),"оба",IF(K25&lt;=por_sk,"СК",IF(L25&gt;=por_zaim,"Займ","")))</f>
        <v/>
      </c>
      <c r="N25" s="8" t="n">
        <v>0.001173028566</v>
      </c>
      <c r="O25" s="9">
        <f>N25*100</f>
        <v/>
      </c>
      <c r="P25" s="9">
        <f>O25-O24</f>
        <v/>
      </c>
      <c r="Q25" s="8" t="n">
        <v>-0.02567947784</v>
      </c>
      <c r="R25" s="9">
        <f>Q25*100</f>
        <v/>
      </c>
      <c r="S25" s="9">
        <f>R25-R24</f>
        <v/>
      </c>
    </row>
    <row r="26">
      <c r="A26" s="6" t="inlineStr">
        <is>
          <t>2025-05-01</t>
        </is>
      </c>
      <c r="B26" s="7" t="n">
        <v>413164.5</v>
      </c>
      <c r="C26" s="7" t="n">
        <v>539662.3540000001</v>
      </c>
      <c r="D26" s="7" t="n">
        <v>456721.225</v>
      </c>
      <c r="E26" s="8">
        <f>IF(C26="","",B26/C26)</f>
        <v/>
      </c>
      <c r="F26" s="9">
        <f>IF(E26="","",E26*100)</f>
        <v/>
      </c>
      <c r="G26" s="8">
        <f>B26/D26</f>
        <v/>
      </c>
      <c r="H26" s="9">
        <f>G26*100</f>
        <v/>
      </c>
      <c r="I26" s="9">
        <f>IF(F26="","",H26-F26)</f>
        <v/>
      </c>
      <c r="J26" s="9">
        <f>H26-H25</f>
        <v/>
      </c>
      <c r="K26" s="11">
        <f>(D26-D25)/D25*100</f>
        <v/>
      </c>
      <c r="L26" s="11">
        <f>(B26-B25)/B25*100</f>
        <v/>
      </c>
      <c r="M26" s="12">
        <f>IF(AND(K26&lt;=por_sk,L26&gt;=por_zaim),"оба",IF(K26&lt;=por_sk,"СК",IF(L26&gt;=por_zaim,"Займ","")))</f>
        <v/>
      </c>
      <c r="N26" s="8" t="n">
        <v>0.0007036193667</v>
      </c>
      <c r="O26" s="9">
        <f>N26*100</f>
        <v/>
      </c>
      <c r="P26" s="9">
        <f>O26-O25</f>
        <v/>
      </c>
      <c r="Q26" s="8" t="n">
        <v>-0.02621518324</v>
      </c>
      <c r="R26" s="9">
        <f>Q26*100</f>
        <v/>
      </c>
      <c r="S26" s="9">
        <f>R26-R25</f>
        <v/>
      </c>
    </row>
    <row r="27">
      <c r="A27" s="6" t="inlineStr">
        <is>
          <t>2025-06-01</t>
        </is>
      </c>
      <c r="B27" s="7" t="n">
        <v>409495.1</v>
      </c>
      <c r="C27" s="7" t="n">
        <v>544012.9939999999</v>
      </c>
      <c r="D27" s="7" t="n">
        <v>461556.705</v>
      </c>
      <c r="E27" s="8">
        <f>IF(C27="","",B27/C27)</f>
        <v/>
      </c>
      <c r="F27" s="9">
        <f>IF(E27="","",E27*100)</f>
        <v/>
      </c>
      <c r="G27" s="8">
        <f>B27/D27</f>
        <v/>
      </c>
      <c r="H27" s="9">
        <f>G27*100</f>
        <v/>
      </c>
      <c r="I27" s="9">
        <f>IF(F27="","",H27-F27)</f>
        <v/>
      </c>
      <c r="J27" s="9">
        <f>H27-H26</f>
        <v/>
      </c>
      <c r="K27" s="11">
        <f>(D27-D26)/D26*100</f>
        <v/>
      </c>
      <c r="L27" s="11">
        <f>(B27-B26)/B26*100</f>
        <v/>
      </c>
      <c r="M27" s="12">
        <f>IF(AND(K27&lt;=por_sk,L27&gt;=por_zaim),"оба",IF(K27&lt;=por_sk,"СК",IF(L27&gt;=por_zaim,"Займ","")))</f>
        <v/>
      </c>
      <c r="N27" s="8" t="n">
        <v>-0.01045247433</v>
      </c>
      <c r="O27" s="9">
        <f>N27*100</f>
        <v/>
      </c>
      <c r="P27" s="9">
        <f>O27-O26</f>
        <v/>
      </c>
      <c r="Q27" s="8" t="n">
        <v>-0.02516064017</v>
      </c>
      <c r="R27" s="9">
        <f>Q27*100</f>
        <v/>
      </c>
      <c r="S27" s="9">
        <f>R27-R26</f>
        <v/>
      </c>
    </row>
    <row r="28">
      <c r="A28" s="6" t="inlineStr">
        <is>
          <t>2025-07-01</t>
        </is>
      </c>
      <c r="B28" s="7" t="n">
        <v>421189.4</v>
      </c>
      <c r="C28" s="7" t="n">
        <v>548877.325</v>
      </c>
      <c r="D28" s="7" t="n">
        <v>466904.637</v>
      </c>
      <c r="E28" s="8">
        <f>IF(C28="","",B28/C28)</f>
        <v/>
      </c>
      <c r="F28" s="9">
        <f>IF(E28="","",E28*100)</f>
        <v/>
      </c>
      <c r="G28" s="8">
        <f>B28/D28</f>
        <v/>
      </c>
      <c r="H28" s="9">
        <f>G28*100</f>
        <v/>
      </c>
      <c r="I28" s="9">
        <f>IF(F28="","",H28-F28)</f>
        <v/>
      </c>
      <c r="J28" s="9">
        <f>H28-H27</f>
        <v/>
      </c>
      <c r="K28" s="11">
        <f>(D28-D27)/D27*100</f>
        <v/>
      </c>
      <c r="L28" s="11">
        <f>(B28-B27)/B27*100</f>
        <v/>
      </c>
      <c r="M28" s="12">
        <f>IF(AND(K28&lt;=por_sk,L28&gt;=por_zaim),"оба",IF(K28&lt;=por_sk,"СК",IF(L28&gt;=por_zaim,"Займ","")))</f>
        <v/>
      </c>
      <c r="N28" s="8" t="n">
        <v>-0.01284831366</v>
      </c>
      <c r="O28" s="9">
        <f>N28*100</f>
        <v/>
      </c>
      <c r="P28" s="9">
        <f>O28-O27</f>
        <v/>
      </c>
      <c r="Q28" s="8" t="n">
        <v>-0.02063257704</v>
      </c>
      <c r="R28" s="9">
        <f>Q28*100</f>
        <v/>
      </c>
      <c r="S28" s="9">
        <f>R28-R27</f>
        <v/>
      </c>
    </row>
    <row r="29">
      <c r="A29" s="6" t="inlineStr">
        <is>
          <t>2025-08-01</t>
        </is>
      </c>
      <c r="B29" s="7" t="n">
        <v>421697.9</v>
      </c>
      <c r="C29" s="7" t="n">
        <v>541721.687</v>
      </c>
      <c r="D29" s="7" t="n">
        <v>460260.73</v>
      </c>
      <c r="E29" s="8">
        <f>IF(C29="","",B29/C29)</f>
        <v/>
      </c>
      <c r="F29" s="9">
        <f>IF(E29="","",E29*100)</f>
        <v/>
      </c>
      <c r="G29" s="8">
        <f>B29/D29</f>
        <v/>
      </c>
      <c r="H29" s="9">
        <f>G29*100</f>
        <v/>
      </c>
      <c r="I29" s="9">
        <f>IF(F29="","",H29-F29)</f>
        <v/>
      </c>
      <c r="J29" s="9">
        <f>H29-H28</f>
        <v/>
      </c>
      <c r="K29" s="11">
        <f>(D29-D28)/D28*100</f>
        <v/>
      </c>
      <c r="L29" s="11">
        <f>(B29-B28)/B28*100</f>
        <v/>
      </c>
      <c r="M29" s="12">
        <f>IF(AND(K29&lt;=por_sk,L29&gt;=por_zaim),"оба",IF(K29&lt;=por_sk,"СК",IF(L29&gt;=por_zaim,"Займ","")))</f>
        <v/>
      </c>
      <c r="N29" s="8" t="n">
        <v>-0.01076612716</v>
      </c>
      <c r="O29" s="9">
        <f>N29*100</f>
        <v/>
      </c>
      <c r="P29" s="9">
        <f>O29-O28</f>
        <v/>
      </c>
      <c r="Q29" s="8" t="n">
        <v>-0.01824222316</v>
      </c>
      <c r="R29" s="9">
        <f>Q29*100</f>
        <v/>
      </c>
      <c r="S29" s="9">
        <f>R29-R28</f>
        <v/>
      </c>
    </row>
    <row r="30">
      <c r="A30" s="6" t="inlineStr">
        <is>
          <t>2025-09-01</t>
        </is>
      </c>
      <c r="B30" s="7" t="n">
        <v>420361.1</v>
      </c>
      <c r="C30" s="7" t="n">
        <v>547298.225</v>
      </c>
      <c r="D30" s="7" t="n">
        <v>466364.472</v>
      </c>
      <c r="E30" s="8">
        <f>IF(C30="","",B30/C30)</f>
        <v/>
      </c>
      <c r="F30" s="9">
        <f>IF(E30="","",E30*100)</f>
        <v/>
      </c>
      <c r="G30" s="8">
        <f>B30/D30</f>
        <v/>
      </c>
      <c r="H30" s="9">
        <f>G30*100</f>
        <v/>
      </c>
      <c r="I30" s="9">
        <f>IF(F30="","",H30-F30)</f>
        <v/>
      </c>
      <c r="J30" s="9">
        <f>H30-H29</f>
        <v/>
      </c>
      <c r="K30" s="11">
        <f>(D30-D29)/D29*100</f>
        <v/>
      </c>
      <c r="L30" s="11">
        <f>(B30-B29)/B29*100</f>
        <v/>
      </c>
      <c r="M30" s="12">
        <f>IF(AND(K30&lt;=por_sk,L30&gt;=por_zaim),"оба",IF(K30&lt;=por_sk,"СК",IF(L30&gt;=por_zaim,"Займ","")))</f>
        <v/>
      </c>
      <c r="N30" s="8" t="n">
        <v>-0.01019961477</v>
      </c>
      <c r="O30" s="9">
        <f>N30*100</f>
        <v/>
      </c>
      <c r="P30" s="9">
        <f>O30-O29</f>
        <v/>
      </c>
      <c r="Q30" s="8" t="n">
        <v>-0.01787913537</v>
      </c>
      <c r="R30" s="9">
        <f>Q30*100</f>
        <v/>
      </c>
      <c r="S30" s="9">
        <f>R30-R29</f>
        <v/>
      </c>
    </row>
    <row r="31">
      <c r="A31" s="6" t="inlineStr">
        <is>
          <t>2025-10-01</t>
        </is>
      </c>
      <c r="B31" s="7" t="n">
        <v>421816</v>
      </c>
      <c r="C31" s="7" t="n">
        <v>550245.387</v>
      </c>
      <c r="D31" s="7" t="n">
        <v>469835.804</v>
      </c>
      <c r="E31" s="8">
        <f>IF(C31="","",B31/C31)</f>
        <v/>
      </c>
      <c r="F31" s="9">
        <f>IF(E31="","",E31*100)</f>
        <v/>
      </c>
      <c r="G31" s="8">
        <f>B31/D31</f>
        <v/>
      </c>
      <c r="H31" s="9">
        <f>G31*100</f>
        <v/>
      </c>
      <c r="I31" s="9">
        <f>IF(F31="","",H31-F31)</f>
        <v/>
      </c>
      <c r="J31" s="9">
        <f>H31-H30</f>
        <v/>
      </c>
      <c r="K31" s="11">
        <f>(D31-D30)/D30*100</f>
        <v/>
      </c>
      <c r="L31" s="11">
        <f>(B31-B30)/B30*100</f>
        <v/>
      </c>
      <c r="M31" s="12">
        <f>IF(AND(K31&lt;=por_sk,L31&gt;=por_zaim),"оба",IF(K31&lt;=por_sk,"СК",IF(L31&gt;=por_zaim,"Займ","")))</f>
        <v/>
      </c>
      <c r="N31" s="8" t="n">
        <v>-0.009223722526999999</v>
      </c>
      <c r="O31" s="9">
        <f>N31*100</f>
        <v/>
      </c>
      <c r="P31" s="9">
        <f>O31-O30</f>
        <v/>
      </c>
      <c r="Q31" s="8" t="n">
        <v>-0.01507613398</v>
      </c>
      <c r="R31" s="9">
        <f>Q31*100</f>
        <v/>
      </c>
      <c r="S31" s="9">
        <f>R31-R30</f>
        <v/>
      </c>
    </row>
    <row r="32">
      <c r="A32" s="6" t="inlineStr">
        <is>
          <t>2025-11-01</t>
        </is>
      </c>
      <c r="B32" s="7" t="n">
        <v>403001.7</v>
      </c>
      <c r="C32" s="7" t="n">
        <v>547740.925</v>
      </c>
      <c r="D32" s="7" t="n">
        <v>467852.15</v>
      </c>
      <c r="E32" s="8">
        <f>IF(C32="","",B32/C32)</f>
        <v/>
      </c>
      <c r="F32" s="9">
        <f>IF(E32="","",E32*100)</f>
        <v/>
      </c>
      <c r="G32" s="8">
        <f>B32/D32</f>
        <v/>
      </c>
      <c r="H32" s="9">
        <f>G32*100</f>
        <v/>
      </c>
      <c r="I32" s="9">
        <f>IF(F32="","",H32-F32)</f>
        <v/>
      </c>
      <c r="J32" s="9">
        <f>H32-H31</f>
        <v/>
      </c>
      <c r="K32" s="11">
        <f>(D32-D31)/D31*100</f>
        <v/>
      </c>
      <c r="L32" s="11">
        <f>(B32-B31)/B31*100</f>
        <v/>
      </c>
      <c r="M32" s="12">
        <f>IF(AND(K32&lt;=por_sk,L32&gt;=por_zaim),"оба",IF(K32&lt;=por_sk,"СК",IF(L32&gt;=por_zaim,"Займ","")))</f>
        <v/>
      </c>
      <c r="N32" s="8" t="n">
        <v>-0.009368964495</v>
      </c>
      <c r="O32" s="9">
        <f>N32*100</f>
        <v/>
      </c>
      <c r="P32" s="9">
        <f>O32-O31</f>
        <v/>
      </c>
      <c r="Q32" s="8" t="n">
        <v>-0.01040587626</v>
      </c>
      <c r="R32" s="9">
        <f>Q32*100</f>
        <v/>
      </c>
      <c r="S32" s="9">
        <f>R32-R31</f>
        <v/>
      </c>
    </row>
    <row r="33">
      <c r="A33" s="6" t="inlineStr">
        <is>
          <t>2025-12-01</t>
        </is>
      </c>
      <c r="B33" s="7" t="n">
        <v>411642.9</v>
      </c>
      <c r="C33" s="7" t="n">
        <v>557685.15</v>
      </c>
      <c r="D33" s="7" t="n">
        <v>477796.375</v>
      </c>
      <c r="E33" s="8">
        <f>IF(C33="","",B33/C33)</f>
        <v/>
      </c>
      <c r="F33" s="9">
        <f>IF(E33="","",E33*100)</f>
        <v/>
      </c>
      <c r="G33" s="8">
        <f>B33/D33</f>
        <v/>
      </c>
      <c r="H33" s="9">
        <f>G33*100</f>
        <v/>
      </c>
      <c r="I33" s="9">
        <f>IF(F33="","",H33-F33)</f>
        <v/>
      </c>
      <c r="J33" s="9">
        <f>H33-H32</f>
        <v/>
      </c>
      <c r="K33" s="11">
        <f>(D33-D32)/D32*100</f>
        <v/>
      </c>
      <c r="L33" s="11">
        <f>(B33-B32)/B32*100</f>
        <v/>
      </c>
      <c r="M33" s="12">
        <f>IF(AND(K33&lt;=por_sk,L33&gt;=por_zaim),"оба",IF(K33&lt;=por_sk,"СК",IF(L33&gt;=por_zaim,"Займ","")))</f>
        <v/>
      </c>
      <c r="N33" s="8" t="n">
        <v>-0.009146300087999999</v>
      </c>
      <c r="O33" s="9">
        <f>N33*100</f>
        <v/>
      </c>
      <c r="P33" s="9">
        <f>O33-O32</f>
        <v/>
      </c>
      <c r="Q33" s="8" t="n">
        <v>-0.008341282269</v>
      </c>
      <c r="R33" s="9">
        <f>Q33*100</f>
        <v/>
      </c>
      <c r="S33" s="9">
        <f>R33-R32</f>
        <v/>
      </c>
    </row>
    <row r="34">
      <c r="A34" s="6" t="inlineStr">
        <is>
          <t>2026-01-01</t>
        </is>
      </c>
      <c r="B34" s="7" t="n">
        <v>421717.7</v>
      </c>
      <c r="C34" s="7" t="n">
        <v>503086.114</v>
      </c>
      <c r="D34" s="7" t="n">
        <v>439961.267</v>
      </c>
      <c r="E34" s="8">
        <f>IF(C34="","",B34/C34)</f>
        <v/>
      </c>
      <c r="F34" s="9">
        <f>IF(E34="","",E34*100)</f>
        <v/>
      </c>
      <c r="G34" s="8">
        <f>B34/D34</f>
        <v/>
      </c>
      <c r="H34" s="9">
        <f>G34*100</f>
        <v/>
      </c>
      <c r="I34" s="9">
        <f>IF(F34="","",H34-F34)</f>
        <v/>
      </c>
      <c r="J34" s="9">
        <f>H34-H33</f>
        <v/>
      </c>
      <c r="K34" s="11">
        <f>(D34-D33)/D33*100</f>
        <v/>
      </c>
      <c r="L34" s="11">
        <f>(B34-B33)/B33*100</f>
        <v/>
      </c>
      <c r="M34" s="12">
        <f>IF(AND(K34&lt;=por_sk,L34&gt;=por_zaim),"оба",IF(K34&lt;=por_sk,"СК",IF(L34&gt;=por_zaim,"Займ","")))</f>
        <v/>
      </c>
      <c r="N34" s="8" t="n">
        <v>-0.01000642628</v>
      </c>
      <c r="O34" s="9">
        <f>N34*100</f>
        <v/>
      </c>
      <c r="P34" s="9">
        <f>O34-O33</f>
        <v/>
      </c>
      <c r="Q34" s="8" t="n">
        <v>-0.009844635963</v>
      </c>
      <c r="R34" s="9">
        <f>Q34*100</f>
        <v/>
      </c>
      <c r="S34" s="9">
        <f>R34-R33</f>
        <v/>
      </c>
    </row>
    <row r="35">
      <c r="A35" s="6" t="inlineStr">
        <is>
          <t>2026-02-01</t>
        </is>
      </c>
      <c r="B35" s="7" t="n">
        <v>393670.5</v>
      </c>
      <c r="C35" s="7" t="n"/>
      <c r="D35" s="7" t="n">
        <v>440063.853</v>
      </c>
      <c r="E35" s="8">
        <f>IF(C35="","",B35/C35)</f>
        <v/>
      </c>
      <c r="F35" s="9">
        <f>IF(E35="","",E35*100)</f>
        <v/>
      </c>
      <c r="G35" s="8">
        <f>B35/D35</f>
        <v/>
      </c>
      <c r="H35" s="9">
        <f>G35*100</f>
        <v/>
      </c>
      <c r="I35" s="9">
        <f>IF(F35="","",H35-F35)</f>
        <v/>
      </c>
      <c r="J35" s="9">
        <f>H35-H34</f>
        <v/>
      </c>
      <c r="K35" s="11">
        <f>(D35-D34)/D34*100</f>
        <v/>
      </c>
      <c r="L35" s="11">
        <f>(B35-B34)/B34*100</f>
        <v/>
      </c>
      <c r="M35" s="12">
        <f>IF(AND(K35&lt;=por_sk,L35&gt;=por_zaim),"оба",IF(K35&lt;=por_sk,"СК",IF(L35&gt;=por_zaim,"Займ","")))</f>
        <v/>
      </c>
      <c r="N35" s="8" t="n">
        <v>0.006211628852</v>
      </c>
      <c r="O35" s="9">
        <f>N35*100</f>
        <v/>
      </c>
      <c r="P35" s="9">
        <f>O35-O34</f>
        <v/>
      </c>
      <c r="Q35" s="8" t="n">
        <v>0.004731440595</v>
      </c>
      <c r="R35" s="9">
        <f>Q35*100</f>
        <v/>
      </c>
      <c r="S35" s="9">
        <f>R35-R34</f>
        <v/>
      </c>
    </row>
    <row r="36">
      <c r="A36" s="6" t="inlineStr">
        <is>
          <t>2026-03-01</t>
        </is>
      </c>
      <c r="B36" s="7" t="n">
        <v>395281.7</v>
      </c>
      <c r="C36" s="7" t="n"/>
      <c r="D36" s="7" t="n">
        <v>449623.796</v>
      </c>
      <c r="E36" s="8">
        <f>IF(C36="","",B36/C36)</f>
        <v/>
      </c>
      <c r="F36" s="9">
        <f>IF(E36="","",E36*100)</f>
        <v/>
      </c>
      <c r="G36" s="8">
        <f>B36/D36</f>
        <v/>
      </c>
      <c r="H36" s="9">
        <f>G36*100</f>
        <v/>
      </c>
      <c r="I36" s="9">
        <f>IF(F36="","",H36-F36)</f>
        <v/>
      </c>
      <c r="J36" s="9">
        <f>H36-H35</f>
        <v/>
      </c>
      <c r="K36" s="11">
        <f>(D36-D35)/D35*100</f>
        <v/>
      </c>
      <c r="L36" s="11">
        <f>(B36-B35)/B35*100</f>
        <v/>
      </c>
      <c r="M36" s="12">
        <f>IF(AND(K36&lt;=por_sk,L36&gt;=por_zaim),"оба",IF(K36&lt;=por_sk,"СК",IF(L36&gt;=por_zaim,"Займ","")))</f>
        <v/>
      </c>
      <c r="N36" s="8" t="n">
        <v>0.001174774637</v>
      </c>
      <c r="O36" s="9">
        <f>N36*100</f>
        <v/>
      </c>
      <c r="P36" s="9">
        <f>O36-O35</f>
        <v/>
      </c>
      <c r="Q36" s="8" t="n">
        <v>0.002976355917</v>
      </c>
      <c r="R36" s="9">
        <f>Q36*100</f>
        <v/>
      </c>
      <c r="S36" s="9">
        <f>R36-R35</f>
        <v/>
      </c>
    </row>
    <row r="37">
      <c r="A37" s="6" t="inlineStr">
        <is>
          <t>2026-04-01</t>
        </is>
      </c>
      <c r="B37" s="7" t="n">
        <v>416607.1</v>
      </c>
      <c r="C37" s="7" t="n"/>
      <c r="D37" s="7" t="n">
        <v>446679.827</v>
      </c>
      <c r="E37" s="8">
        <f>IF(C37="","",B37/C37)</f>
        <v/>
      </c>
      <c r="F37" s="9">
        <f>IF(E37="","",E37*100)</f>
        <v/>
      </c>
      <c r="G37" s="8">
        <f>B37/D37</f>
        <v/>
      </c>
      <c r="H37" s="9">
        <f>G37*100</f>
        <v/>
      </c>
      <c r="I37" s="9">
        <f>IF(F37="","",H37-F37)</f>
        <v/>
      </c>
      <c r="J37" s="9">
        <f>H37-H36</f>
        <v/>
      </c>
      <c r="K37" s="11">
        <f>(D37-D36)/D36*100</f>
        <v/>
      </c>
      <c r="L37" s="11">
        <f>(B37-B36)/B36*100</f>
        <v/>
      </c>
      <c r="M37" s="12">
        <f>IF(AND(K37&lt;=por_sk,L37&gt;=por_zaim),"оба",IF(K37&lt;=por_sk,"СК",IF(L37&gt;=por_zaim,"Займ","")))</f>
        <v/>
      </c>
      <c r="N37" s="8" t="n">
        <v>-0.003483003224</v>
      </c>
      <c r="O37" s="9">
        <f>N37*100</f>
        <v/>
      </c>
      <c r="P37" s="9">
        <f>O37-O36</f>
        <v/>
      </c>
      <c r="Q37" s="8" t="n">
        <v>0.001964413579</v>
      </c>
      <c r="R37" s="9">
        <f>Q37*100</f>
        <v/>
      </c>
      <c r="S37" s="9">
        <f>R37-R36</f>
        <v/>
      </c>
    </row>
    <row r="38">
      <c r="A38" s="6" t="inlineStr">
        <is>
          <t>2026-05-01</t>
        </is>
      </c>
      <c r="B38" s="7" t="n">
        <v>439754.5</v>
      </c>
      <c r="C38" s="7" t="n"/>
      <c r="D38" s="7" t="n">
        <v>446857.154</v>
      </c>
      <c r="E38" s="8">
        <f>IF(C38="","",B38/C38)</f>
        <v/>
      </c>
      <c r="F38" s="9">
        <f>IF(E38="","",E38*100)</f>
        <v/>
      </c>
      <c r="G38" s="8">
        <f>B38/D38</f>
        <v/>
      </c>
      <c r="H38" s="9">
        <f>G38*100</f>
        <v/>
      </c>
      <c r="I38" s="9">
        <f>IF(F38="","",H38-F38)</f>
        <v/>
      </c>
      <c r="J38" s="9">
        <f>H38-H37</f>
        <v/>
      </c>
      <c r="K38" s="11">
        <f>(D38-D37)/D37*100</f>
        <v/>
      </c>
      <c r="L38" s="11">
        <f>(B38-B37)/B37*100</f>
        <v/>
      </c>
      <c r="M38" s="12">
        <f>IF(AND(K38&lt;=por_sk,L38&gt;=por_zaim),"оба",IF(K38&lt;=por_sk,"СК",IF(L38&gt;=por_zaim,"Займ","")))</f>
        <v/>
      </c>
      <c r="N38" s="8" t="n">
        <v>-0.003399834341</v>
      </c>
      <c r="O38" s="9">
        <f>N38*100</f>
        <v/>
      </c>
      <c r="P38" s="9">
        <f>O38-O37</f>
        <v/>
      </c>
      <c r="Q38" s="8" t="n">
        <v>0.001914285625</v>
      </c>
      <c r="R38" s="9">
        <f>Q38*100</f>
        <v/>
      </c>
      <c r="S38" s="9">
        <f>R38-R37</f>
        <v/>
      </c>
    </row>
    <row r="39">
      <c r="A39" s="6" t="inlineStr">
        <is>
          <t>2026-06-01</t>
        </is>
      </c>
      <c r="B39" s="7" t="n">
        <v>444048.8</v>
      </c>
      <c r="C39" s="7" t="n"/>
      <c r="D39" s="7" t="n">
        <v>440316.783</v>
      </c>
      <c r="E39" s="8">
        <f>IF(C39="","",B39/C39)</f>
        <v/>
      </c>
      <c r="F39" s="9">
        <f>IF(E39="","",E39*100)</f>
        <v/>
      </c>
      <c r="G39" s="8">
        <f>B39/D39</f>
        <v/>
      </c>
      <c r="H39" s="9">
        <f>G39*100</f>
        <v/>
      </c>
      <c r="I39" s="9">
        <f>IF(F39="","",H39-F39)</f>
        <v/>
      </c>
      <c r="J39" s="9">
        <f>H39-H38</f>
        <v/>
      </c>
      <c r="K39" s="11">
        <f>(D39-D38)/D38*100</f>
        <v/>
      </c>
      <c r="L39" s="11">
        <f>(B39-B38)/B38*100</f>
        <v/>
      </c>
      <c r="M39" s="12">
        <f>IF(AND(K39&lt;=por_sk,L39&gt;=por_zaim),"оба",IF(K39&lt;=por_sk,"СК",IF(L39&gt;=por_zaim,"Займ","")))</f>
        <v/>
      </c>
      <c r="N39" s="8" t="n">
        <v>0.003774368159</v>
      </c>
      <c r="O39" s="9">
        <f>N39*100</f>
        <v/>
      </c>
      <c r="P39" s="9">
        <f>O39-O38</f>
        <v/>
      </c>
      <c r="Q39" s="8" t="n">
        <v>0.00337118251</v>
      </c>
      <c r="R39" s="9">
        <f>Q39*100</f>
        <v/>
      </c>
      <c r="S39" s="9">
        <f>R39-R38</f>
        <v/>
      </c>
    </row>
    <row r="40">
      <c r="A40" s="6" t="inlineStr">
        <is>
          <t>2026-07-01</t>
        </is>
      </c>
      <c r="B40" s="7" t="n">
        <v>448999.7</v>
      </c>
      <c r="C40" s="7" t="n"/>
      <c r="D40" s="7" t="n">
        <v>442346.331</v>
      </c>
      <c r="E40" s="8">
        <f>IF(C40="","",B40/C40)</f>
        <v/>
      </c>
      <c r="F40" s="9">
        <f>IF(E40="","",E40*100)</f>
        <v/>
      </c>
      <c r="G40" s="8">
        <f>B40/D40</f>
        <v/>
      </c>
      <c r="H40" s="9">
        <f>G40*100</f>
        <v/>
      </c>
      <c r="I40" s="9">
        <f>IF(F40="","",H40-F40)</f>
        <v/>
      </c>
      <c r="J40" s="9">
        <f>H40-H39</f>
        <v/>
      </c>
      <c r="K40" s="11">
        <f>(D40-D39)/D39*100</f>
        <v/>
      </c>
      <c r="L40" s="11">
        <f>(B40-B39)/B39*100</f>
        <v/>
      </c>
      <c r="M40" s="12">
        <f>IF(AND(K40&lt;=por_sk,L40&gt;=por_zaim),"оба",IF(K40&lt;=por_sk,"СК",IF(L40&gt;=por_zaim,"Займ","")))</f>
        <v/>
      </c>
      <c r="N40" s="8" t="n">
        <v>-0.002673517612</v>
      </c>
      <c r="O40" s="9">
        <f>N40*100</f>
        <v/>
      </c>
      <c r="P40" s="9">
        <f>O40-O39</f>
        <v/>
      </c>
      <c r="Q40" s="8" t="n">
        <v>0.002666590121</v>
      </c>
      <c r="R40" s="9">
        <f>Q40*100</f>
        <v/>
      </c>
      <c r="S40" s="9">
        <f>R40-R39</f>
        <v/>
      </c>
    </row>
    <row r="42" ht="44" customHeight="1">
      <c r="A42" s="2" t="inlineStr">
        <is>
          <t>Колонка I — разрыв двух баз на одну дату, а не движение во времени. Через неё видно, что k не постоянен: разрыв сузился с 22,2 пп в 08.2023 до 12,0 пп в 01.2026. Уровень L = L_рег / k, посчитанный по k одной даты, стареет вместе с k — открытый вопрос к запросу данных, не свойство расчёта.</t>
        </is>
      </c>
    </row>
    <row r="44" ht="32" customHeight="1">
      <c r="A44" s="2" t="inlineStr">
        <is>
          <t>Уровень не ограничивал показатель 8 лет 6 месяцев: шесть эпизодов превышения относительно уровня, действовавшего на дату.</t>
        </is>
      </c>
    </row>
  </sheetData>
  <mergeCells count="3">
    <mergeCell ref="A42:S42"/>
    <mergeCell ref="A44:G44"/>
    <mergeCell ref="A2:S2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26" customWidth="1" min="4" max="4"/>
    <col width="62" customWidth="1" min="5" max="5"/>
  </cols>
  <sheetData>
    <row r="1">
      <c r="A1" s="1" t="inlineStr">
        <is>
          <t>Параметры расчёта</t>
        </is>
      </c>
    </row>
    <row r="2" ht="16" customHeight="1">
      <c r="A2" s="2" t="inlineStr">
        <is>
          <t>Всё, что не выводится из ряда. Меняется здесь — пересчитывается везде.</t>
        </is>
      </c>
    </row>
    <row r="4">
      <c r="A4" s="13" t="inlineStr">
        <is>
          <t>Параметр</t>
        </is>
      </c>
      <c r="B4" s="13" t="inlineStr">
        <is>
          <t>Обозначение</t>
        </is>
      </c>
      <c r="C4" s="13" t="inlineStr">
        <is>
          <t>Значение</t>
        </is>
      </c>
      <c r="D4" s="13" t="inlineStr">
        <is>
          <t>Формула</t>
        </is>
      </c>
      <c r="E4" s="13" t="inlineStr">
        <is>
          <t>Откуда</t>
        </is>
      </c>
    </row>
    <row r="5" ht="34" customHeight="1">
      <c r="A5" s="4" t="inlineStr">
        <is>
          <t>Доверие для буфера</t>
        </is>
      </c>
      <c r="B5" s="6" t="inlineStr">
        <is>
          <t>p</t>
        </is>
      </c>
      <c r="C5" s="14" t="n">
        <v>0.9</v>
      </c>
      <c r="D5" s="15" t="inlineStr">
        <is>
          <t>ввод</t>
        </is>
      </c>
      <c r="E5" s="16" t="inlineStr">
        <is>
          <t>Доля T-месячных движений, которые буфер обязан накрыть. 0,90 означает один ложный отбой из десяти. Это РЕШЕНИЕ комитета о цене ложного сигнала, а не расчётная величина: выше p — жёлтая ниже, лампа горит чаще</t>
        </is>
      </c>
    </row>
    <row r="6" ht="34" customHeight="1">
      <c r="A6" s="4" t="inlineStr">
        <is>
          <t>Квантиль нормального</t>
        </is>
      </c>
      <c r="B6" s="6" t="inlineStr">
        <is>
          <t>z(p)</t>
        </is>
      </c>
      <c r="C6" s="17">
        <f>NORMSINV(C5)</f>
        <v/>
      </c>
      <c r="D6" s="15" t="inlineStr">
        <is>
          <t>NORMSINV(p)</t>
        </is>
      </c>
      <c r="E6" s="16" t="inlineStr">
        <is>
          <t>Вычисляется из p, не вбивается. По-русски функция называется НОРМСТОБР</t>
        </is>
      </c>
    </row>
    <row r="7" ht="34" customHeight="1">
      <c r="A7" s="4" t="inlineStr">
        <is>
          <t>Отношение баз капитала</t>
        </is>
      </c>
      <c r="B7" s="6" t="inlineStr">
        <is>
          <t>k (Г26)</t>
        </is>
      </c>
      <c r="C7" s="18">
        <f>Ряд!D34/Ряд!C34</f>
        <v/>
      </c>
      <c r="D7" s="15" t="inlineStr">
        <is>
          <t>Ряд!D34/Ряд!C34</t>
        </is>
      </c>
      <c r="E7" s="16" t="inlineStr">
        <is>
          <t>СК_балансовый / СК_регуляторный на 01.01.2026 — последняя дата, где есть обе базы. Находка Г26: с 01.01.2026 знаменатель метрики сменил базу, уровень при этом не пересматривался. ВНИМАНИЕ: k не константа, см. колонку I листа «Ряд»</t>
        </is>
      </c>
    </row>
    <row r="8" ht="34" customHeight="1">
      <c r="A8" s="4" t="inlineStr">
        <is>
          <t>Уровень в регуляторной базе</t>
        </is>
      </c>
      <c r="B8" s="6" t="inlineStr">
        <is>
          <t>L_рег</t>
        </is>
      </c>
      <c r="C8" s="14" t="n">
        <v>95</v>
      </c>
      <c r="D8" s="15" t="inlineStr">
        <is>
          <t>ввод</t>
        </is>
      </c>
      <c r="E8" s="16" t="inlineStr">
        <is>
          <t>Действующий уровень риск-аппетита по топ-20. Приложение № 3 к Политике (VND-02). История уровня: 250 % → 95 %, см. data/top20_limit_history.csv</t>
        </is>
      </c>
    </row>
    <row r="9" ht="34" customHeight="1">
      <c r="A9" s="4" t="inlineStr">
        <is>
          <t>Длина цикла реагирования, мес.</t>
        </is>
      </c>
      <c r="B9" s="6" t="inlineStr">
        <is>
          <t>T</t>
        </is>
      </c>
      <c r="C9" s="19" t="n">
        <v>3</v>
      </c>
      <c r="D9" s="15" t="inlineStr">
        <is>
          <t>ввод</t>
        </is>
      </c>
      <c r="E9" s="16" t="inlineStr">
        <is>
          <t>ДОПУЩЕНИЕ, не измеренная величина. Пока длина цикла не закреплена в регламенте, метод H держится на ней со слов — DISCLOSURE § 6</t>
        </is>
      </c>
    </row>
    <row r="10" ht="34" customHeight="1">
      <c r="A10" s="4" t="inlineStr">
        <is>
          <t>Порог триггера по капиталу, %</t>
        </is>
      </c>
      <c r="B10" s="6" t="inlineStr">
        <is>
          <t>порог ΔСК</t>
        </is>
      </c>
      <c r="C10" s="20" t="n">
        <v>-3</v>
      </c>
      <c r="D10" s="15" t="inlineStr">
        <is>
          <t>ввод</t>
        </is>
      </c>
      <c r="E10" s="16" t="inlineStr">
        <is>
          <t>Месячное падение СК, при котором наблюдение ускоряется независимо от зоны</t>
        </is>
      </c>
    </row>
    <row r="11" ht="34" customHeight="1">
      <c r="A11" s="4" t="inlineStr">
        <is>
          <t>Порог триггера по портфелю, %</t>
        </is>
      </c>
      <c r="B11" s="6" t="inlineStr">
        <is>
          <t>порог ΔЗайм</t>
        </is>
      </c>
      <c r="C11" s="20" t="n">
        <v>5</v>
      </c>
      <c r="D11" s="15" t="inlineStr">
        <is>
          <t>ввод</t>
        </is>
      </c>
      <c r="E11" s="16" t="inlineStr">
        <is>
          <t>Месячный рост задолженности топ-20, при котором наблюдение ускоряется</t>
        </is>
      </c>
    </row>
    <row r="13" ht="58" customHeight="1">
      <c r="A13" s="21" t="inlineStr">
        <is>
          <t>Из семи параметров вычисляются два: z из p и k из ряда. Остальные пять — чьи-то решения, и у каждого должен быть автор. У L_рег он есть (Приложение № 3), у T и двух порогов — нет. T = 3 единственный без внешнего источника: поставьте другое число в C9 — вся книга пересчитается, и станет видно, что требуемый уровень меняется на 1,4–1,5 пп за каждый месяц цикла.</t>
        </is>
      </c>
    </row>
  </sheetData>
  <mergeCells count="2">
    <mergeCell ref="A2:E2"/>
    <mergeCell ref="A13:E1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6" customWidth="1" min="1" max="1"/>
    <col width="46" customWidth="1" min="2" max="2"/>
    <col width="40" customWidth="1" min="3" max="3"/>
    <col width="14" customWidth="1" min="4" max="4"/>
    <col width="22" customWidth="1" min="5" max="5"/>
  </cols>
  <sheetData>
    <row r="1">
      <c r="A1" s="1" t="inlineStr">
        <is>
          <t>Расчётный лист: формула, вход, результат</t>
        </is>
      </c>
    </row>
    <row r="2" ht="30" customHeight="1">
      <c r="A2" s="2" t="inlineStr">
        <is>
          <t>Колонка D считается формулой из листов «Ряд» и «Параметры». Колонка E — то, что напечатано в DECOMPOSITION § 11.10 и DISCLOSURE § 2. Колонка G должна быть «да» во всех строках: иначе опубликованное число разошлось с расчётом.</t>
        </is>
      </c>
    </row>
    <row r="4" ht="30" customHeight="1">
      <c r="A4" s="5" t="inlineStr">
        <is>
          <t>Показатель</t>
        </is>
      </c>
      <c r="B4" s="5" t="inlineStr">
        <is>
          <t>Формула словами</t>
        </is>
      </c>
      <c r="C4" s="5" t="inlineStr">
        <is>
          <t>Формула в этой книге</t>
        </is>
      </c>
      <c r="D4" s="5" t="inlineStr">
        <is>
          <t>Значение</t>
        </is>
      </c>
      <c r="E4" s="5" t="inlineStr">
        <is>
          <t>Где напечатано</t>
        </is>
      </c>
    </row>
    <row r="5">
      <c r="A5" s="22" t="inlineStr">
        <is>
          <t>1. База: что даёт сам ряд</t>
        </is>
      </c>
      <c r="B5" s="23" t="n"/>
      <c r="C5" s="23" t="n"/>
      <c r="D5" s="23" t="n"/>
      <c r="E5" s="23" t="n"/>
    </row>
    <row r="6" ht="30" customHeight="1">
      <c r="A6" s="4" t="inlineStr">
        <is>
          <t>σ_Δ — с.к.о. месячных приростов</t>
        </is>
      </c>
      <c r="B6" s="4" t="inlineStr">
        <is>
          <t>выборочное с.к.о. (n−1) по всем 35 приростам</t>
        </is>
      </c>
      <c r="C6" s="15" t="inlineStr">
        <is>
          <t>STDEV(d)</t>
        </is>
      </c>
      <c r="D6" s="24">
        <f>STDEV(d)</f>
        <v/>
      </c>
      <c r="E6" s="16" t="inlineStr">
        <is>
          <t>DISCLOSURE § 2.1</t>
        </is>
      </c>
    </row>
    <row r="7" ht="30" customHeight="1">
      <c r="A7" s="4" t="inlineStr">
        <is>
          <t>σ уровней (метод М1)</t>
        </is>
      </c>
      <c r="B7" s="4" t="inlineStr">
        <is>
          <t>выборочное с.к.о. самих значений ряда, не приростов</t>
        </is>
      </c>
      <c r="C7" s="15" t="inlineStr">
        <is>
          <t>STDEV(v)</t>
        </is>
      </c>
      <c r="D7" s="24">
        <f>STDEV(v)</f>
        <v/>
      </c>
      <c r="E7" s="16" t="inlineStr">
        <is>
          <t>DISCLOSURE Р-Д1</t>
        </is>
      </c>
    </row>
    <row r="8" ht="30" customHeight="1">
      <c r="A8" s="4" t="inlineStr">
        <is>
          <t>Текущая точка, 01.07.2026</t>
        </is>
      </c>
      <c r="B8" s="4" t="inlineStr">
        <is>
          <t>последнее значение ряда</t>
        </is>
      </c>
      <c r="C8" s="15" t="inlineStr">
        <is>
          <t>Ряд!H40</t>
        </is>
      </c>
      <c r="D8" s="24">
        <f>Ряд!H40</f>
        <v/>
      </c>
      <c r="E8" s="16" t="inlineStr">
        <is>
          <t>DISCLOSURE § 2.1</t>
        </is>
      </c>
    </row>
    <row r="9" ht="30" customHeight="1">
      <c r="A9" s="4" t="inlineStr">
        <is>
          <t>Максимум ряда, 01.2024</t>
        </is>
      </c>
      <c r="B9" s="4" t="inlineStr">
        <is>
          <t>наибольшее значение ряда</t>
        </is>
      </c>
      <c r="C9" s="15" t="inlineStr">
        <is>
          <t>MAX(v)</t>
        </is>
      </c>
      <c r="D9" s="24">
        <f>MAX(v)</f>
        <v/>
      </c>
      <c r="E9" s="16" t="inlineStr">
        <is>
          <t>DISCLOSURE § 2.1</t>
        </is>
      </c>
    </row>
    <row r="10" ht="30" customHeight="1">
      <c r="A10" s="4" t="inlineStr">
        <is>
          <t>Число точек</t>
        </is>
      </c>
      <c r="B10" s="4" t="inlineStr">
        <is>
          <t>сколько наблюдений в ряде</t>
        </is>
      </c>
      <c r="C10" s="15" t="inlineStr">
        <is>
          <t>COUNT(v)</t>
        </is>
      </c>
      <c r="D10" s="19">
        <f>COUNT(v)</f>
        <v/>
      </c>
      <c r="E10" s="16" t="inlineStr">
        <is>
          <t>DISCLOSURE § 1</t>
        </is>
      </c>
    </row>
    <row r="11">
      <c r="A11" s="22" t="inlineStr">
        <is>
          <t>2. Уровень</t>
        </is>
      </c>
      <c r="B11" s="23" t="n"/>
      <c r="C11" s="23" t="n"/>
      <c r="D11" s="23" t="n"/>
      <c r="E11" s="23" t="n"/>
    </row>
    <row r="12" ht="30" customHeight="1">
      <c r="A12" s="4" t="inlineStr">
        <is>
          <t>L — уровень в балансовой базе</t>
        </is>
      </c>
      <c r="B12" s="4" t="inlineStr">
        <is>
          <t>действующий уровень 95 %, пересчитанный под балансовый капитал: L_рег / k</t>
        </is>
      </c>
      <c r="C12" s="15" t="inlineStr">
        <is>
          <t>L_reg/k_G26</t>
        </is>
      </c>
      <c r="D12" s="24">
        <f>L_reg/k_G26</f>
        <v/>
      </c>
      <c r="E12" s="16" t="inlineStr">
        <is>
          <t>DISCLOSURE § 2.2</t>
        </is>
      </c>
    </row>
    <row r="13" ht="30" customHeight="1">
      <c r="A13" s="4" t="inlineStr">
        <is>
          <t>X — граница L − M(3) в процентах лимита</t>
        </is>
      </c>
      <c r="B13" s="4" t="inlineStr">
        <is>
          <t>1 − M(T)/L: доля лимита, на которой стоит жёлтая линия</t>
        </is>
      </c>
      <c r="C13" s="15" t="inlineStr">
        <is>
          <t>(1-D24/D12)*100</t>
        </is>
      </c>
      <c r="D13" s="24">
        <f>(1-D24/D12)*100</f>
        <v/>
      </c>
      <c r="E13" s="16" t="inlineStr">
        <is>
          <t>новое, 14.09.2026</t>
        </is>
      </c>
    </row>
    <row r="14" ht="30" customHeight="1">
      <c r="A14" s="2" t="inlineStr">
        <is>
          <t>Это одна величина в двух системах измерения, а не два разных лимита. Фраза «пробит лимит 95 % по балансовому капиталу» — категориальная ошибка: числитель берётся из одной базы, знаменатель из другой. Значение 108,6304 стоит на k, посчитанном из ряда; в DISCLOSURE до 14.09.2026 печаталось 108,6298 — та же величина при k, округлённом до пяти знаков.</t>
        </is>
      </c>
    </row>
    <row r="15">
      <c r="A15" s="22" t="inlineStr">
        <is>
          <t>3. Запас на реагирование M(T) = z(p) · σ_Δ · √T и границы L − M(T)</t>
        </is>
      </c>
      <c r="B15" s="23" t="n"/>
      <c r="C15" s="23" t="n"/>
      <c r="D15" s="23" t="n"/>
      <c r="E15" s="23" t="n"/>
    </row>
    <row r="16" ht="30" customHeight="1">
      <c r="A16" s="4" t="inlineStr">
        <is>
          <t>Запас M(T) при T = 1</t>
        </is>
      </c>
      <c r="B16" s="4" t="inlineStr">
        <is>
          <t>z(p) × σ_Δ × корень из T</t>
        </is>
      </c>
      <c r="C16" s="15" t="inlineStr">
        <is>
          <t>z_p*D6*SQRT(1)</t>
        </is>
      </c>
      <c r="D16" s="24">
        <f>z_p*D6*SQRT(1)</f>
        <v/>
      </c>
      <c r="E16" s="16" t="inlineStr">
        <is>
          <t>DISCLOSURE § 2.3</t>
        </is>
      </c>
    </row>
    <row r="17" ht="30" customHeight="1">
      <c r="A17" s="4" t="inlineStr">
        <is>
          <t>Граница L − M(T) при T = 1</t>
        </is>
      </c>
      <c r="B17" s="4" t="inlineStr">
        <is>
          <t>L − M(T)</t>
        </is>
      </c>
      <c r="C17" s="15" t="inlineStr">
        <is>
          <t>D12-D16</t>
        </is>
      </c>
      <c r="D17" s="24">
        <f>D12-D16</f>
        <v/>
      </c>
      <c r="E17" s="16" t="inlineStr">
        <is>
          <t>DISCLOSURE § 2.3</t>
        </is>
      </c>
    </row>
    <row r="18" ht="30" customHeight="1">
      <c r="A18" s="4" t="inlineStr">
        <is>
          <t>Наблюдений выше границы, T = 1</t>
        </is>
      </c>
      <c r="B18" s="4" t="inlineStr">
        <is>
          <t>сколько точек ряда не ниже этой границы</t>
        </is>
      </c>
      <c r="C18" s="15" t="inlineStr">
        <is>
          <t>COUNTIF(v,"&gt;="&amp;D17)</t>
        </is>
      </c>
      <c r="D18" s="19">
        <f>COUNTIF(v,"&gt;="&amp;D17)</f>
        <v/>
      </c>
      <c r="E18" s="16" t="inlineStr">
        <is>
          <t>DISCLOSURE § 2.3, Р-Д3</t>
        </is>
      </c>
    </row>
    <row r="19" ht="30" customHeight="1">
      <c r="A19" s="4" t="inlineStr">
        <is>
          <t>Доля времени выше границы, T = 1</t>
        </is>
      </c>
      <c r="B19" s="4" t="inlineStr">
        <is>
          <t>их доля от 36 наблюдений</t>
        </is>
      </c>
      <c r="C19" s="15" t="inlineStr">
        <is>
          <t>COUNTIF(v,"&gt;="&amp;D17)/COUNT(v)*100</t>
        </is>
      </c>
      <c r="D19" s="20">
        <f>COUNTIF(v,"&gt;="&amp;D17)/COUNT(v)*100</f>
        <v/>
      </c>
      <c r="E19" s="16" t="inlineStr">
        <is>
          <t>DISCLOSURE § 2.3, Р-Д3</t>
        </is>
      </c>
    </row>
    <row r="20" ht="30" customHeight="1">
      <c r="A20" s="4" t="inlineStr">
        <is>
          <t>Запас M(T) при T = 2</t>
        </is>
      </c>
      <c r="B20" s="4" t="inlineStr">
        <is>
          <t>z(p) × σ_Δ × корень из T</t>
        </is>
      </c>
      <c r="C20" s="15" t="inlineStr">
        <is>
          <t>z_p*D6*SQRT(2)</t>
        </is>
      </c>
      <c r="D20" s="24">
        <f>z_p*D6*SQRT(2)</f>
        <v/>
      </c>
      <c r="E20" s="16" t="inlineStr">
        <is>
          <t>DISCLOSURE § 2.3</t>
        </is>
      </c>
    </row>
    <row r="21" ht="30" customHeight="1">
      <c r="A21" s="4" t="inlineStr">
        <is>
          <t>Граница L − M(T) при T = 2</t>
        </is>
      </c>
      <c r="B21" s="4" t="inlineStr">
        <is>
          <t>L − M(T)</t>
        </is>
      </c>
      <c r="C21" s="15" t="inlineStr">
        <is>
          <t>D12-D20</t>
        </is>
      </c>
      <c r="D21" s="24">
        <f>D12-D20</f>
        <v/>
      </c>
      <c r="E21" s="16" t="inlineStr">
        <is>
          <t>DISCLOSURE § 2.3</t>
        </is>
      </c>
    </row>
    <row r="22" ht="30" customHeight="1">
      <c r="A22" s="4" t="inlineStr">
        <is>
          <t>Наблюдений выше границы, T = 2</t>
        </is>
      </c>
      <c r="B22" s="4" t="inlineStr">
        <is>
          <t>сколько точек ряда не ниже этой границы</t>
        </is>
      </c>
      <c r="C22" s="15" t="inlineStr">
        <is>
          <t>COUNTIF(v,"&gt;="&amp;D21)</t>
        </is>
      </c>
      <c r="D22" s="19">
        <f>COUNTIF(v,"&gt;="&amp;D21)</f>
        <v/>
      </c>
      <c r="E22" s="16" t="inlineStr">
        <is>
          <t>DISCLOSURE § 2.3, Р-Д3</t>
        </is>
      </c>
    </row>
    <row r="23" ht="30" customHeight="1">
      <c r="A23" s="4" t="inlineStr">
        <is>
          <t>Доля времени выше границы, T = 2</t>
        </is>
      </c>
      <c r="B23" s="4" t="inlineStr">
        <is>
          <t>их доля от 36 наблюдений</t>
        </is>
      </c>
      <c r="C23" s="15" t="inlineStr">
        <is>
          <t>COUNTIF(v,"&gt;="&amp;D21)/COUNT(v)*100</t>
        </is>
      </c>
      <c r="D23" s="20">
        <f>COUNTIF(v,"&gt;="&amp;D21)/COUNT(v)*100</f>
        <v/>
      </c>
      <c r="E23" s="16" t="inlineStr">
        <is>
          <t>DISCLOSURE § 2.3, Р-Д3</t>
        </is>
      </c>
    </row>
    <row r="24" ht="30" customHeight="1">
      <c r="A24" s="4" t="inlineStr">
        <is>
          <t>Запас M(T) при T = 3</t>
        </is>
      </c>
      <c r="B24" s="4" t="inlineStr">
        <is>
          <t>z(p) × σ_Δ × корень из T</t>
        </is>
      </c>
      <c r="C24" s="15" t="inlineStr">
        <is>
          <t>z_p*D6*SQRT(3)</t>
        </is>
      </c>
      <c r="D24" s="24">
        <f>z_p*D6*SQRT(3)</f>
        <v/>
      </c>
      <c r="E24" s="16" t="inlineStr">
        <is>
          <t>DISCLOSURE § 2.3</t>
        </is>
      </c>
    </row>
    <row r="25" ht="30" customHeight="1">
      <c r="A25" s="4" t="inlineStr">
        <is>
          <t>Граница L − M(T) при T = 3</t>
        </is>
      </c>
      <c r="B25" s="4" t="inlineStr">
        <is>
          <t>L − M(T)</t>
        </is>
      </c>
      <c r="C25" s="15" t="inlineStr">
        <is>
          <t>D12-D24</t>
        </is>
      </c>
      <c r="D25" s="24">
        <f>D12-D24</f>
        <v/>
      </c>
      <c r="E25" s="16" t="inlineStr">
        <is>
          <t>DISCLOSURE § 2.3</t>
        </is>
      </c>
    </row>
    <row r="26" ht="30" customHeight="1">
      <c r="A26" s="4" t="inlineStr">
        <is>
          <t>Наблюдений выше границы, T = 3</t>
        </is>
      </c>
      <c r="B26" s="4" t="inlineStr">
        <is>
          <t>сколько точек ряда не ниже этой границы</t>
        </is>
      </c>
      <c r="C26" s="15" t="inlineStr">
        <is>
          <t>COUNTIF(v,"&gt;="&amp;D25)</t>
        </is>
      </c>
      <c r="D26" s="19">
        <f>COUNTIF(v,"&gt;="&amp;D25)</f>
        <v/>
      </c>
      <c r="E26" s="16" t="inlineStr">
        <is>
          <t>DISCLOSURE § 2.3, Р-Д3</t>
        </is>
      </c>
    </row>
    <row r="27" ht="30" customHeight="1">
      <c r="A27" s="4" t="inlineStr">
        <is>
          <t>Доля времени выше границы, T = 3</t>
        </is>
      </c>
      <c r="B27" s="4" t="inlineStr">
        <is>
          <t>их доля от 36 наблюдений</t>
        </is>
      </c>
      <c r="C27" s="15" t="inlineStr">
        <is>
          <t>COUNTIF(v,"&gt;="&amp;D25)/COUNT(v)*100</t>
        </is>
      </c>
      <c r="D27" s="20">
        <f>COUNTIF(v,"&gt;="&amp;D25)/COUNT(v)*100</f>
        <v/>
      </c>
      <c r="E27" s="16" t="inlineStr">
        <is>
          <t>DISCLOSURE § 2.3, Р-Д3</t>
        </is>
      </c>
    </row>
    <row r="28" ht="30" customHeight="1">
      <c r="A28" s="4" t="inlineStr">
        <is>
          <t>Запас M(T) при T = 4</t>
        </is>
      </c>
      <c r="B28" s="4" t="inlineStr">
        <is>
          <t>z(p) × σ_Δ × корень из T</t>
        </is>
      </c>
      <c r="C28" s="15" t="inlineStr">
        <is>
          <t>z_p*D6*SQRT(4)</t>
        </is>
      </c>
      <c r="D28" s="24">
        <f>z_p*D6*SQRT(4)</f>
        <v/>
      </c>
      <c r="E28" s="16" t="inlineStr">
        <is>
          <t>DISCLOSURE § 2.3</t>
        </is>
      </c>
    </row>
    <row r="29" ht="30" customHeight="1">
      <c r="A29" s="4" t="inlineStr">
        <is>
          <t>Граница L − M(T) при T = 4</t>
        </is>
      </c>
      <c r="B29" s="4" t="inlineStr">
        <is>
          <t>L − M(T)</t>
        </is>
      </c>
      <c r="C29" s="15" t="inlineStr">
        <is>
          <t>D12-D28</t>
        </is>
      </c>
      <c r="D29" s="24">
        <f>D12-D28</f>
        <v/>
      </c>
      <c r="E29" s="16" t="inlineStr">
        <is>
          <t>DISCLOSURE § 2.3</t>
        </is>
      </c>
    </row>
    <row r="30" ht="30" customHeight="1">
      <c r="A30" s="4" t="inlineStr">
        <is>
          <t>Наблюдений выше границы, T = 4</t>
        </is>
      </c>
      <c r="B30" s="4" t="inlineStr">
        <is>
          <t>сколько точек ряда не ниже этой границы</t>
        </is>
      </c>
      <c r="C30" s="15" t="inlineStr">
        <is>
          <t>COUNTIF(v,"&gt;="&amp;D29)</t>
        </is>
      </c>
      <c r="D30" s="19">
        <f>COUNTIF(v,"&gt;="&amp;D29)</f>
        <v/>
      </c>
      <c r="E30" s="16" t="inlineStr">
        <is>
          <t>DISCLOSURE § 2.3, Р-Д3</t>
        </is>
      </c>
    </row>
    <row r="31" ht="30" customHeight="1">
      <c r="A31" s="4" t="inlineStr">
        <is>
          <t>Доля времени выше границы, T = 4</t>
        </is>
      </c>
      <c r="B31" s="4" t="inlineStr">
        <is>
          <t>их доля от 36 наблюдений</t>
        </is>
      </c>
      <c r="C31" s="15" t="inlineStr">
        <is>
          <t>COUNTIF(v,"&gt;="&amp;D29)/COUNT(v)*100</t>
        </is>
      </c>
      <c r="D31" s="20">
        <f>COUNTIF(v,"&gt;="&amp;D29)/COUNT(v)*100</f>
        <v/>
      </c>
      <c r="E31" s="16" t="inlineStr">
        <is>
          <t>DISCLOSURE § 2.3, Р-Д3</t>
        </is>
      </c>
    </row>
    <row r="32" ht="30" customHeight="1">
      <c r="A32" s="2" t="inlineStr">
        <is>
          <t>Р-Д3: доля в процентах от 36 наблюдений читается точнее, чем есть. 2,8 % — это одно наблюдение, 11,1 % — четыре. На комитете доля называется только вместе с числом наблюдений, поэтому строка «Наблюдений» стоит выше строки «Доля», а не под ней. Обоснование самой формулы M(T) — на листе «Обоснование M(T)»; разметка зон по этим границам — на листе «Зоны».</t>
        </is>
      </c>
    </row>
    <row r="33">
      <c r="A33" s="22" t="inlineStr">
        <is>
          <t>4. Квантили ряда (метод C). Линейная интерполяция между порядковыми статистиками</t>
        </is>
      </c>
      <c r="B33" s="23" t="n"/>
      <c r="C33" s="23" t="n"/>
      <c r="D33" s="23" t="n"/>
      <c r="E33" s="23" t="n"/>
    </row>
    <row r="34" ht="30" customHeight="1">
      <c r="A34" s="4" t="inlineStr">
        <is>
          <t>Квантиль 85 %</t>
        </is>
      </c>
      <c r="B34" s="4" t="inlineStr">
        <is>
          <t>значение, ниже которого лежит 85 % ряда</t>
        </is>
      </c>
      <c r="C34" s="15" t="inlineStr">
        <is>
          <t>PERCENTILE(v,0.85)</t>
        </is>
      </c>
      <c r="D34" s="24">
        <f>PERCENTILE(v,0.85)</f>
        <v/>
      </c>
      <c r="E34" s="16" t="inlineStr">
        <is>
          <t>DISCLOSURE § 2.5</t>
        </is>
      </c>
    </row>
    <row r="35" ht="30" customHeight="1">
      <c r="A35" s="4" t="inlineStr">
        <is>
          <t>Квантиль 90 %</t>
        </is>
      </c>
      <c r="B35" s="4" t="inlineStr">
        <is>
          <t>значение, ниже которого лежит 90 % ряда</t>
        </is>
      </c>
      <c r="C35" s="15" t="inlineStr">
        <is>
          <t>PERCENTILE(v,0.90)</t>
        </is>
      </c>
      <c r="D35" s="24">
        <f>PERCENTILE(v,0.90)</f>
        <v/>
      </c>
      <c r="E35" s="16" t="inlineStr">
        <is>
          <t>DISCLOSURE § 2.5</t>
        </is>
      </c>
    </row>
    <row r="36" ht="30" customHeight="1">
      <c r="A36" s="4" t="inlineStr">
        <is>
          <t>Квантиль 95 %</t>
        </is>
      </c>
      <c r="B36" s="4" t="inlineStr">
        <is>
          <t>значение, ниже которого лежит 95 % ряда</t>
        </is>
      </c>
      <c r="C36" s="15" t="inlineStr">
        <is>
          <t>PERCENTILE(v,0.95)</t>
        </is>
      </c>
      <c r="D36" s="24">
        <f>PERCENTILE(v,0.95)</f>
        <v/>
      </c>
      <c r="E36" s="16" t="inlineStr">
        <is>
          <t>DISCLOSURE § 2.5</t>
        </is>
      </c>
    </row>
    <row r="37">
      <c r="A37" s="22" t="inlineStr">
        <is>
          <t>5. Два независимых пути к одному уровню</t>
        </is>
      </c>
      <c r="B37" s="23" t="n"/>
      <c r="C37" s="23" t="n"/>
      <c r="D37" s="23" t="n"/>
      <c r="E37" s="23" t="n"/>
    </row>
    <row r="38" ht="30" customHeight="1">
      <c r="A38" s="4" t="inlineStr">
        <is>
          <t>Метод H: квантиль 90 % + запас T = 3</t>
        </is>
      </c>
      <c r="B38" s="4" t="inlineStr">
        <is>
          <t>квантиль₉₀(v) + M(3)</t>
        </is>
      </c>
      <c r="C38" s="15" t="inlineStr">
        <is>
          <t>D35+D24</t>
        </is>
      </c>
      <c r="D38" s="24">
        <f>D35+D24</f>
        <v/>
      </c>
      <c r="E38" s="16" t="inlineStr">
        <is>
          <t>DISCLOSURE § 2.4</t>
        </is>
      </c>
    </row>
    <row r="39" ht="30" customHeight="1">
      <c r="A39" s="4" t="inlineStr">
        <is>
          <t>Расхождение двух путей</t>
        </is>
      </c>
      <c r="B39" s="4" t="inlineStr">
        <is>
          <t>L (пересчёт базы) − H (цикл решения)</t>
        </is>
      </c>
      <c r="C39" s="15" t="inlineStr">
        <is>
          <t>D12-D38</t>
        </is>
      </c>
      <c r="D39" s="24">
        <f>D12-D38</f>
        <v/>
      </c>
      <c r="E39" s="16" t="inlineStr">
        <is>
          <t>DISCLOSURE § 2.4</t>
        </is>
      </c>
    </row>
    <row r="40" ht="30" customHeight="1">
      <c r="A40" s="2" t="inlineStr">
        <is>
          <t>Главный довод против упрёка «уровень подогнан под факт»: пути не связаны по построению. Первый смотрит на отношение баз капитала, второй — на распределение ряда и длину процесса. Сходятся на 0,05 пп.</t>
        </is>
      </c>
    </row>
    <row r="41">
      <c r="A41" s="22" t="inlineStr">
        <is>
          <t>6. Производные метрики</t>
        </is>
      </c>
      <c r="B41" s="23" t="n"/>
      <c r="C41" s="23" t="n"/>
      <c r="D41" s="23" t="n"/>
      <c r="E41" s="23" t="n"/>
    </row>
    <row r="42" ht="30" customHeight="1">
      <c r="A42" s="4" t="inlineStr">
        <is>
          <t>D — расстояние до L, в σ</t>
        </is>
      </c>
      <c r="B42" s="4" t="inlineStr">
        <is>
          <t>(L − текущая точка) / σ_Δ</t>
        </is>
      </c>
      <c r="C42" s="15" t="inlineStr">
        <is>
          <t>(D12-D8)/D6</t>
        </is>
      </c>
      <c r="D42" s="25">
        <f>(D12-D8)/D6</f>
        <v/>
      </c>
      <c r="E42" s="16" t="inlineStr">
        <is>
          <t>DISCLOSURE § 2.6</t>
        </is>
      </c>
    </row>
    <row r="43" ht="30" customHeight="1">
      <c r="A43" s="4" t="inlineStr">
        <is>
          <t>D при сохранении L = 95</t>
        </is>
      </c>
      <c r="B43" s="4" t="inlineStr">
        <is>
          <t>(95 − текущая точка) / σ_Δ</t>
        </is>
      </c>
      <c r="C43" s="15" t="inlineStr">
        <is>
          <t>(L_reg-D8)/D6</t>
        </is>
      </c>
      <c r="D43" s="25">
        <f>(L_reg-D8)/D6</f>
        <v/>
      </c>
      <c r="E43" s="16" t="inlineStr">
        <is>
          <t>DISCLOSURE § 2.6</t>
        </is>
      </c>
    </row>
    <row r="44" ht="30" customHeight="1">
      <c r="A44" s="4" t="inlineStr">
        <is>
          <t>F — падение СК до достижения L, %</t>
        </is>
      </c>
      <c r="B44" s="4" t="inlineStr">
        <is>
          <t>текущая точка / L − 1, в процентах</t>
        </is>
      </c>
      <c r="C44" s="15" t="inlineStr">
        <is>
          <t>(D8/D12-1)*100</t>
        </is>
      </c>
      <c r="D44" s="14">
        <f>(D8/D12-1)*100</f>
        <v/>
      </c>
      <c r="E44" s="16" t="inlineStr">
        <is>
          <t>DISCLOSURE § 2.6</t>
        </is>
      </c>
    </row>
    <row r="45" ht="30" customHeight="1">
      <c r="A45" s="4" t="inlineStr">
        <is>
          <t>T* — остаток времени до лимита, мес.</t>
        </is>
      </c>
      <c r="B45" s="4" t="inlineStr">
        <is>
          <t>сколько месяцев до лимита при доверии p: ((L − v) / (z·σ_Δ))²</t>
        </is>
      </c>
      <c r="C45" s="15" t="inlineStr">
        <is>
          <t>((D12-D8)/(z_p*D6))^2</t>
        </is>
      </c>
      <c r="D45" s="24">
        <f>((D12-D8)/(z_p*D6))^2</f>
        <v/>
      </c>
      <c r="E45" s="16" t="inlineStr">
        <is>
          <t>новое, 14.09.2026</t>
        </is>
      </c>
    </row>
    <row r="46" ht="30" customHeight="1">
      <c r="A46" s="2" t="inlineStr">
        <is>
          <t>T* — та же формула M(T), решённая относительно T. Она переводит зону из цвета в срок: в текущей точке до лимита остаётся 1,87 месяца при доверии 90 %. Это число говорит комитету больше, чем «мы в жёлтой зоне».</t>
        </is>
      </c>
    </row>
    <row r="47">
      <c r="A47" s="22" t="inlineStr">
        <is>
          <t>7. Цена решения «уровень не трогаем»: обратный счёт при L = 95</t>
        </is>
      </c>
      <c r="B47" s="23" t="n"/>
      <c r="C47" s="23" t="n"/>
      <c r="D47" s="23" t="n"/>
      <c r="E47" s="23" t="n"/>
    </row>
    <row r="48" ht="30" customHeight="1">
      <c r="A48" s="4" t="inlineStr">
        <is>
          <t>Жёлтая линия при L = 95</t>
        </is>
      </c>
      <c r="B48" s="4" t="inlineStr">
        <is>
          <t>95 − M(3)</t>
        </is>
      </c>
      <c r="C48" s="15" t="inlineStr">
        <is>
          <t>L_reg-D24</t>
        </is>
      </c>
      <c r="D48" s="24">
        <f>L_reg-D24</f>
        <v/>
      </c>
      <c r="E48" s="16" t="inlineStr">
        <is>
          <t>DISCLOSURE § 2.6</t>
        </is>
      </c>
    </row>
    <row r="49" ht="30" customHeight="1">
      <c r="A49" s="4" t="inlineStr">
        <is>
          <t>Наблюдений выше неё</t>
        </is>
      </c>
      <c r="B49" s="4" t="inlineStr">
        <is>
          <t>сколько точек ряда не ниже 85,97</t>
        </is>
      </c>
      <c r="C49" s="15" t="inlineStr">
        <is>
          <t>COUNTIF(v,"&gt;="&amp;D48)</t>
        </is>
      </c>
      <c r="D49" s="19">
        <f>COUNTIF(v,"&gt;="&amp;D48)</f>
        <v/>
      </c>
      <c r="E49" s="16" t="inlineStr">
        <is>
          <t>DISCLOSURE § 2.6</t>
        </is>
      </c>
    </row>
    <row r="50" ht="30" customHeight="1">
      <c r="A50" s="4" t="inlineStr">
        <is>
          <t>Доля времени выше неё</t>
        </is>
      </c>
      <c r="B50" s="4" t="inlineStr">
        <is>
          <t>их доля от 36 наблюдений</t>
        </is>
      </c>
      <c r="C50" s="15" t="inlineStr">
        <is>
          <t>COUNTIF(v,"&gt;="&amp;D48)/COUNT(v)*100</t>
        </is>
      </c>
      <c r="D50" s="20">
        <f>COUNTIF(v,"&gt;="&amp;D48)/COUNT(v)*100</f>
        <v/>
      </c>
      <c r="E50" s="16" t="inlineStr">
        <is>
          <t>DISCLOSURE § 2.6</t>
        </is>
      </c>
    </row>
    <row r="51" ht="30" customHeight="1">
      <c r="A51" s="2" t="inlineStr">
        <is>
          <t>31 наблюдение из 36 — это светофор с постоянно горящей жёлтой лампой. Именно это число отвечает на предложение «оставить 95 % и ничего не менять».</t>
        </is>
      </c>
    </row>
  </sheetData>
  <mergeCells count="6">
    <mergeCell ref="A2:E2"/>
    <mergeCell ref="A51:E51"/>
    <mergeCell ref="A46:E46"/>
    <mergeCell ref="A32:E32"/>
    <mergeCell ref="A14:E14"/>
    <mergeCell ref="A40:E4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4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6" customWidth="1" min="1" max="1"/>
    <col width="46" customWidth="1" min="2" max="2"/>
    <col width="40" customWidth="1" min="3" max="3"/>
    <col width="14" customWidth="1" min="4" max="4"/>
    <col width="22" customWidth="1" min="5" max="5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</cols>
  <sheetData>
    <row r="1">
      <c r="A1" s="1" t="inlineStr">
        <is>
          <t>Обоснование формулы M(T) = z(p) · σ_Δ · √T</t>
        </is>
      </c>
    </row>
    <row r="2" ht="42" customHeight="1">
      <c r="A2" s="2" t="inlineStr">
        <is>
          <t>Формула держится на трёх допущениях: приросты независимы (отсюда √T), распределение суммы близко к нормальному (отсюда z), дрейфа нет. Ниже каждое проверено на нашем же ряде. Колонки J–N — служебные: T-месячные изменения, по которым считаются проверки.</t>
        </is>
      </c>
    </row>
    <row r="4" ht="30" customHeight="1">
      <c r="A4" s="5" t="inlineStr">
        <is>
          <t>Проверка</t>
        </is>
      </c>
      <c r="B4" s="5" t="inlineStr">
        <is>
          <t>Что именно проверяется</t>
        </is>
      </c>
      <c r="C4" s="5" t="inlineStr">
        <is>
          <t>Формула в этой книге</t>
        </is>
      </c>
      <c r="D4" s="5" t="inlineStr">
        <is>
          <t>Значение</t>
        </is>
      </c>
      <c r="E4" s="5" t="inlineStr">
        <is>
          <t>Как читать</t>
        </is>
      </c>
      <c r="G4" s="5" t="inlineStr">
        <is>
          <t>Изменение за 1 мес.</t>
        </is>
      </c>
      <c r="H4" s="5" t="inlineStr">
        <is>
          <t>Изменение за 2 мес.</t>
        </is>
      </c>
      <c r="I4" s="5" t="inlineStr">
        <is>
          <t>Изменение за 3 мес.</t>
        </is>
      </c>
      <c r="J4" s="5" t="inlineStr">
        <is>
          <t>Изменение за 4 мес.</t>
        </is>
      </c>
      <c r="K4" s="5" t="inlineStr">
        <is>
          <t>Изменение за 6 мес.</t>
        </is>
      </c>
    </row>
    <row r="5">
      <c r="A5" s="22" t="inlineStr">
        <is>
          <t>1. Независимость приростов — единственное, на чём держится √T</t>
        </is>
      </c>
      <c r="B5" s="23" t="n"/>
      <c r="C5" s="23" t="n"/>
      <c r="D5" s="23" t="n"/>
      <c r="E5" s="23" t="n"/>
      <c r="G5" s="26">
        <f>Ряд!H6-Ряд!H5</f>
        <v/>
      </c>
      <c r="H5" s="26">
        <f>Ряд!H7-Ряд!H5</f>
        <v/>
      </c>
      <c r="I5" s="26">
        <f>Ряд!H8-Ряд!H5</f>
        <v/>
      </c>
      <c r="J5" s="26">
        <f>Ряд!H9-Ряд!H5</f>
        <v/>
      </c>
      <c r="K5" s="26">
        <f>Ряд!H11-Ряд!H5</f>
        <v/>
      </c>
    </row>
    <row r="6" ht="30" customHeight="1">
      <c r="A6" s="4" t="inlineStr">
        <is>
          <t>Автокорреляция лага 1</t>
        </is>
      </c>
      <c r="B6" s="4" t="inlineStr">
        <is>
          <t>связь прироста с предыдущим приростом</t>
        </is>
      </c>
      <c r="C6" s="15" t="inlineStr">
        <is>
          <t>CORREL(Ряд!J7:J40,Ряд!J6:J39)</t>
        </is>
      </c>
      <c r="D6" s="24">
        <f>CORREL(Ряд!J7:J40,Ряд!J6:J39)</f>
        <v/>
      </c>
      <c r="E6" s="16" t="inlineStr">
        <is>
          <t>новое, 14.09.2026</t>
        </is>
      </c>
      <c r="G6" s="26">
        <f>Ряд!H7-Ряд!H6</f>
        <v/>
      </c>
      <c r="H6" s="26">
        <f>Ряд!H8-Ряд!H6</f>
        <v/>
      </c>
      <c r="I6" s="26">
        <f>Ряд!H9-Ряд!H6</f>
        <v/>
      </c>
      <c r="J6" s="26">
        <f>Ряд!H10-Ряд!H6</f>
        <v/>
      </c>
      <c r="K6" s="26">
        <f>Ряд!H12-Ряд!H6</f>
        <v/>
      </c>
    </row>
    <row r="7" ht="30" customHeight="1">
      <c r="A7" s="4" t="inlineStr">
        <is>
          <t>Порог значимости 2/√n</t>
        </is>
      </c>
      <c r="B7" s="4" t="inlineStr">
        <is>
          <t>выше этого значения автокорреляцию нельзя считать шумом</t>
        </is>
      </c>
      <c r="C7" s="15" t="inlineStr">
        <is>
          <t>2/SQRT(COUNT(d))</t>
        </is>
      </c>
      <c r="D7" s="24">
        <f>2/SQRT(COUNT(d))</f>
        <v/>
      </c>
      <c r="E7" s="16" t="inlineStr">
        <is>
          <t>новое</t>
        </is>
      </c>
      <c r="G7" s="26">
        <f>Ряд!H8-Ряд!H7</f>
        <v/>
      </c>
      <c r="H7" s="26">
        <f>Ряд!H9-Ряд!H7</f>
        <v/>
      </c>
      <c r="I7" s="26">
        <f>Ряд!H10-Ряд!H7</f>
        <v/>
      </c>
      <c r="J7" s="26">
        <f>Ряд!H11-Ряд!H7</f>
        <v/>
      </c>
      <c r="K7" s="26">
        <f>Ряд!H13-Ряд!H7</f>
        <v/>
      </c>
    </row>
    <row r="8" ht="30" customHeight="1">
      <c r="A8" s="2" t="inlineStr">
        <is>
          <t>|−0,083| против порога 0,338 — свидетельств против независимости нет. Это НЕ доказательство независимости: при 35 наблюдениях тест почти лишён мощности. Сказать об этом надо самим, иначе скажет оппонент.</t>
        </is>
      </c>
      <c r="G8" s="26">
        <f>Ряд!H9-Ряд!H8</f>
        <v/>
      </c>
      <c r="H8" s="26">
        <f>Ряд!H10-Ряд!H8</f>
        <v/>
      </c>
      <c r="I8" s="26">
        <f>Ряд!H11-Ряд!H8</f>
        <v/>
      </c>
      <c r="J8" s="26">
        <f>Ряд!H12-Ряд!H8</f>
        <v/>
      </c>
      <c r="K8" s="26">
        <f>Ряд!H14-Ряд!H8</f>
        <v/>
      </c>
    </row>
    <row r="9" ht="30" customHeight="1">
      <c r="A9" s="4" t="inlineStr">
        <is>
          <t>Фактическое с.к.о. изменений за 1 мес.</t>
        </is>
      </c>
      <c r="B9" s="4" t="inlineStr">
        <is>
          <t>разброс реальных 1-месячных изменений ряда</t>
        </is>
      </c>
      <c r="C9" s="15" t="inlineStr">
        <is>
          <t>STDEV($G$5:$G$39)</t>
        </is>
      </c>
      <c r="D9" s="24">
        <f>STDEV($G$5:$G$39)</f>
        <v/>
      </c>
      <c r="E9" s="16" t="inlineStr">
        <is>
          <t>новое</t>
        </is>
      </c>
      <c r="G9" s="26">
        <f>Ряд!H10-Ряд!H9</f>
        <v/>
      </c>
      <c r="H9" s="26">
        <f>Ряд!H11-Ряд!H9</f>
        <v/>
      </c>
      <c r="I9" s="26">
        <f>Ряд!H12-Ряд!H9</f>
        <v/>
      </c>
      <c r="J9" s="26">
        <f>Ряд!H13-Ряд!H9</f>
        <v/>
      </c>
      <c r="K9" s="26">
        <f>Ряд!H15-Ряд!H9</f>
        <v/>
      </c>
    </row>
    <row r="10" ht="30" customHeight="1">
      <c r="A10" s="4" t="inlineStr">
        <is>
          <t>Отношение факт / модель при T = 1</t>
        </is>
      </c>
      <c r="B10" s="4" t="inlineStr">
        <is>
          <t>во сколько раз реальный разброс отличается от σ_Δ·√1</t>
        </is>
      </c>
      <c r="C10" s="15" t="inlineStr">
        <is>
          <t>D9/('Расчёт'!D6*SQRT(1))</t>
        </is>
      </c>
      <c r="D10" s="24">
        <f>D9/('Расчёт'!D6*SQRT(1))</f>
        <v/>
      </c>
      <c r="E10" s="16" t="inlineStr">
        <is>
          <t>новое</t>
        </is>
      </c>
      <c r="G10" s="26">
        <f>Ряд!H11-Ряд!H10</f>
        <v/>
      </c>
      <c r="H10" s="26">
        <f>Ряд!H12-Ряд!H10</f>
        <v/>
      </c>
      <c r="I10" s="26">
        <f>Ряд!H13-Ряд!H10</f>
        <v/>
      </c>
      <c r="J10" s="26">
        <f>Ряд!H14-Ряд!H10</f>
        <v/>
      </c>
      <c r="K10" s="26">
        <f>Ряд!H16-Ряд!H10</f>
        <v/>
      </c>
    </row>
    <row r="11" ht="30" customHeight="1">
      <c r="A11" s="4" t="inlineStr">
        <is>
          <t>Фактическое с.к.о. изменений за 2 мес.</t>
        </is>
      </c>
      <c r="B11" s="4" t="inlineStr">
        <is>
          <t>разброс реальных 2-месячных изменений ряда</t>
        </is>
      </c>
      <c r="C11" s="15" t="inlineStr">
        <is>
          <t>STDEV($H$5:$H$38)</t>
        </is>
      </c>
      <c r="D11" s="24">
        <f>STDEV($H$5:$H$38)</f>
        <v/>
      </c>
      <c r="E11" s="16" t="inlineStr">
        <is>
          <t>новое</t>
        </is>
      </c>
      <c r="G11" s="26">
        <f>Ряд!H12-Ряд!H11</f>
        <v/>
      </c>
      <c r="H11" s="26">
        <f>Ряд!H13-Ряд!H11</f>
        <v/>
      </c>
      <c r="I11" s="26">
        <f>Ряд!H14-Ряд!H11</f>
        <v/>
      </c>
      <c r="J11" s="26">
        <f>Ряд!H15-Ряд!H11</f>
        <v/>
      </c>
      <c r="K11" s="26">
        <f>Ряд!H17-Ряд!H11</f>
        <v/>
      </c>
    </row>
    <row r="12" ht="30" customHeight="1">
      <c r="A12" s="4" t="inlineStr">
        <is>
          <t>Отношение факт / модель при T = 2</t>
        </is>
      </c>
      <c r="B12" s="4" t="inlineStr">
        <is>
          <t>во сколько раз реальный разброс отличается от σ_Δ·√2</t>
        </is>
      </c>
      <c r="C12" s="15" t="inlineStr">
        <is>
          <t>D11/('Расчёт'!D6*SQRT(2))</t>
        </is>
      </c>
      <c r="D12" s="24">
        <f>D11/('Расчёт'!D6*SQRT(2))</f>
        <v/>
      </c>
      <c r="E12" s="16" t="inlineStr">
        <is>
          <t>новое</t>
        </is>
      </c>
      <c r="G12" s="26">
        <f>Ряд!H13-Ряд!H12</f>
        <v/>
      </c>
      <c r="H12" s="26">
        <f>Ряд!H14-Ряд!H12</f>
        <v/>
      </c>
      <c r="I12" s="26">
        <f>Ряд!H15-Ряд!H12</f>
        <v/>
      </c>
      <c r="J12" s="26">
        <f>Ряд!H16-Ряд!H12</f>
        <v/>
      </c>
      <c r="K12" s="26">
        <f>Ряд!H18-Ряд!H12</f>
        <v/>
      </c>
    </row>
    <row r="13" ht="30" customHeight="1">
      <c r="A13" s="4" t="inlineStr">
        <is>
          <t>Фактическое с.к.о. изменений за 3 мес.</t>
        </is>
      </c>
      <c r="B13" s="4" t="inlineStr">
        <is>
          <t>разброс реальных 3-месячных изменений ряда</t>
        </is>
      </c>
      <c r="C13" s="15" t="inlineStr">
        <is>
          <t>STDEV($I$5:$I$37)</t>
        </is>
      </c>
      <c r="D13" s="24">
        <f>STDEV($I$5:$I$37)</f>
        <v/>
      </c>
      <c r="E13" s="16" t="inlineStr">
        <is>
          <t>новое</t>
        </is>
      </c>
      <c r="G13" s="26">
        <f>Ряд!H14-Ряд!H13</f>
        <v/>
      </c>
      <c r="H13" s="26">
        <f>Ряд!H15-Ряд!H13</f>
        <v/>
      </c>
      <c r="I13" s="26">
        <f>Ряд!H16-Ряд!H13</f>
        <v/>
      </c>
      <c r="J13" s="26">
        <f>Ряд!H17-Ряд!H13</f>
        <v/>
      </c>
      <c r="K13" s="26">
        <f>Ряд!H19-Ряд!H13</f>
        <v/>
      </c>
    </row>
    <row r="14" ht="30" customHeight="1">
      <c r="A14" s="4" t="inlineStr">
        <is>
          <t>Отношение факт / модель при T = 3</t>
        </is>
      </c>
      <c r="B14" s="4" t="inlineStr">
        <is>
          <t>во сколько раз реальный разброс отличается от σ_Δ·√3</t>
        </is>
      </c>
      <c r="C14" s="15" t="inlineStr">
        <is>
          <t>D13/('Расчёт'!D6*SQRT(3))</t>
        </is>
      </c>
      <c r="D14" s="24">
        <f>D13/('Расчёт'!D6*SQRT(3))</f>
        <v/>
      </c>
      <c r="E14" s="16" t="inlineStr">
        <is>
          <t>новое</t>
        </is>
      </c>
      <c r="G14" s="26">
        <f>Ряд!H15-Ряд!H14</f>
        <v/>
      </c>
      <c r="H14" s="26">
        <f>Ряд!H16-Ряд!H14</f>
        <v/>
      </c>
      <c r="I14" s="26">
        <f>Ряд!H17-Ряд!H14</f>
        <v/>
      </c>
      <c r="J14" s="26">
        <f>Ряд!H18-Ряд!H14</f>
        <v/>
      </c>
      <c r="K14" s="26">
        <f>Ряд!H20-Ряд!H14</f>
        <v/>
      </c>
    </row>
    <row r="15" ht="30" customHeight="1">
      <c r="A15" s="4" t="inlineStr">
        <is>
          <t>Фактическое с.к.о. изменений за 4 мес.</t>
        </is>
      </c>
      <c r="B15" s="4" t="inlineStr">
        <is>
          <t>разброс реальных 4-месячных изменений ряда</t>
        </is>
      </c>
      <c r="C15" s="15" t="inlineStr">
        <is>
          <t>STDEV($J$5:$J$36)</t>
        </is>
      </c>
      <c r="D15" s="24">
        <f>STDEV($J$5:$J$36)</f>
        <v/>
      </c>
      <c r="E15" s="16" t="inlineStr">
        <is>
          <t>новое</t>
        </is>
      </c>
      <c r="G15" s="26">
        <f>Ряд!H16-Ряд!H15</f>
        <v/>
      </c>
      <c r="H15" s="26">
        <f>Ряд!H17-Ряд!H15</f>
        <v/>
      </c>
      <c r="I15" s="26">
        <f>Ряд!H18-Ряд!H15</f>
        <v/>
      </c>
      <c r="J15" s="26">
        <f>Ряд!H19-Ряд!H15</f>
        <v/>
      </c>
      <c r="K15" s="26">
        <f>Ряд!H21-Ряд!H15</f>
        <v/>
      </c>
    </row>
    <row r="16" ht="30" customHeight="1">
      <c r="A16" s="4" t="inlineStr">
        <is>
          <t>Отношение факт / модель при T = 4</t>
        </is>
      </c>
      <c r="B16" s="4" t="inlineStr">
        <is>
          <t>во сколько раз реальный разброс отличается от σ_Δ·√4</t>
        </is>
      </c>
      <c r="C16" s="15" t="inlineStr">
        <is>
          <t>D15/('Расчёт'!D6*SQRT(4))</t>
        </is>
      </c>
      <c r="D16" s="24">
        <f>D15/('Расчёт'!D6*SQRT(4))</f>
        <v/>
      </c>
      <c r="E16" s="16" t="inlineStr">
        <is>
          <t>новое</t>
        </is>
      </c>
      <c r="G16" s="26">
        <f>Ряд!H17-Ряд!H16</f>
        <v/>
      </c>
      <c r="H16" s="26">
        <f>Ряд!H18-Ряд!H16</f>
        <v/>
      </c>
      <c r="I16" s="26">
        <f>Ряд!H19-Ряд!H16</f>
        <v/>
      </c>
      <c r="J16" s="26">
        <f>Ряд!H20-Ряд!H16</f>
        <v/>
      </c>
      <c r="K16" s="26">
        <f>Ряд!H22-Ряд!H16</f>
        <v/>
      </c>
    </row>
    <row r="17" ht="30" customHeight="1">
      <c r="A17" s="4" t="inlineStr">
        <is>
          <t>Фактическое с.к.о. изменений за 6 мес.</t>
        </is>
      </c>
      <c r="B17" s="4" t="inlineStr">
        <is>
          <t>разброс реальных 6-месячных изменений ряда</t>
        </is>
      </c>
      <c r="C17" s="15" t="inlineStr">
        <is>
          <t>STDEV($K$5:$K$34)</t>
        </is>
      </c>
      <c r="D17" s="24">
        <f>STDEV($K$5:$K$34)</f>
        <v/>
      </c>
      <c r="E17" s="16" t="inlineStr">
        <is>
          <t>новое</t>
        </is>
      </c>
      <c r="G17" s="26">
        <f>Ряд!H18-Ряд!H17</f>
        <v/>
      </c>
      <c r="H17" s="26">
        <f>Ряд!H19-Ряд!H17</f>
        <v/>
      </c>
      <c r="I17" s="26">
        <f>Ряд!H20-Ряд!H17</f>
        <v/>
      </c>
      <c r="J17" s="26">
        <f>Ряд!H21-Ряд!H17</f>
        <v/>
      </c>
      <c r="K17" s="26">
        <f>Ряд!H23-Ряд!H17</f>
        <v/>
      </c>
    </row>
    <row r="18" ht="30" customHeight="1">
      <c r="A18" s="4" t="inlineStr">
        <is>
          <t>Отношение факт / модель при T = 6</t>
        </is>
      </c>
      <c r="B18" s="4" t="inlineStr">
        <is>
          <t>во сколько раз реальный разброс отличается от σ_Δ·√6</t>
        </is>
      </c>
      <c r="C18" s="15" t="inlineStr">
        <is>
          <t>D17/('Расчёт'!D6*SQRT(6))</t>
        </is>
      </c>
      <c r="D18" s="24">
        <f>D17/('Расчёт'!D6*SQRT(6))</f>
        <v/>
      </c>
      <c r="E18" s="16" t="inlineStr">
        <is>
          <t>новое</t>
        </is>
      </c>
      <c r="G18" s="26">
        <f>Ряд!H19-Ряд!H18</f>
        <v/>
      </c>
      <c r="H18" s="26">
        <f>Ряд!H20-Ряд!H18</f>
        <v/>
      </c>
      <c r="I18" s="26">
        <f>Ряд!H21-Ряд!H18</f>
        <v/>
      </c>
      <c r="J18" s="26">
        <f>Ряд!H22-Ряд!H18</f>
        <v/>
      </c>
      <c r="K18" s="26">
        <f>Ряд!H24-Ряд!H18</f>
        <v/>
      </c>
    </row>
    <row r="19" ht="44" customHeight="1">
      <c r="A19" s="2" t="inlineStr">
        <is>
          <t>Отношение ниже единицы означает, что √T ЗАВЫШАЕТ разброс: ряд слегка возвращается к среднему. На T = 3 завышение 9 %, на T = 6 — 23 %. Для буфера это ошибка в безопасную сторону — жёлтая линия ниже, предупреждение раньше. Оговорка: окна перекрываются, поэтому это оценка, а не точное измерение.</t>
        </is>
      </c>
      <c r="G19" s="26">
        <f>Ряд!H20-Ряд!H19</f>
        <v/>
      </c>
      <c r="H19" s="26">
        <f>Ряд!H21-Ряд!H19</f>
        <v/>
      </c>
      <c r="I19" s="26">
        <f>Ряд!H22-Ряд!H19</f>
        <v/>
      </c>
      <c r="J19" s="26">
        <f>Ряд!H23-Ряд!H19</f>
        <v/>
      </c>
      <c r="K19" s="26">
        <f>Ряд!H25-Ряд!H19</f>
        <v/>
      </c>
    </row>
    <row r="20">
      <c r="A20" s="22" t="inlineStr">
        <is>
          <t>2. Нормальность — и почему нужна не та, о которой спрашивают</t>
        </is>
      </c>
      <c r="B20" s="23" t="n"/>
      <c r="C20" s="23" t="n"/>
      <c r="D20" s="23" t="n"/>
      <c r="E20" s="23" t="n"/>
      <c r="G20" s="26">
        <f>Ряд!H21-Ряд!H20</f>
        <v/>
      </c>
      <c r="H20" s="26">
        <f>Ряд!H22-Ряд!H20</f>
        <v/>
      </c>
      <c r="I20" s="26">
        <f>Ряд!H23-Ряд!H20</f>
        <v/>
      </c>
      <c r="J20" s="26">
        <f>Ряд!H24-Ряд!H20</f>
        <v/>
      </c>
      <c r="K20" s="26">
        <f>Ряд!H26-Ряд!H20</f>
        <v/>
      </c>
    </row>
    <row r="21" ht="30" customHeight="1">
      <c r="A21" s="4" t="inlineStr">
        <is>
          <t>Асимметрия приростов</t>
        </is>
      </c>
      <c r="B21" s="4" t="inlineStr">
        <is>
          <t>скошенность месячных приростов: третий момент / σ³</t>
        </is>
      </c>
      <c r="C21" s="15" t="inlineStr">
        <is>
          <t>(SUMPRODUCT((d-AVERAGE(d))^3)/COUNT(d))/(SUMPRODUCT((d-AVERAGE(d))^2)/COUNT(d))^1.5</t>
        </is>
      </c>
      <c r="D21" s="24">
        <f>(SUMPRODUCT((d-AVERAGE(d))^3)/COUNT(d))/(SUMPRODUCT((d-AVERAGE(d))^2)/COUNT(d))^1.5</f>
        <v/>
      </c>
      <c r="E21" s="16" t="inlineStr">
        <is>
          <t>новое</t>
        </is>
      </c>
      <c r="G21" s="26">
        <f>Ряд!H22-Ряд!H21</f>
        <v/>
      </c>
      <c r="H21" s="26">
        <f>Ряд!H23-Ряд!H21</f>
        <v/>
      </c>
      <c r="I21" s="26">
        <f>Ряд!H24-Ряд!H21</f>
        <v/>
      </c>
      <c r="J21" s="26">
        <f>Ряд!H25-Ряд!H21</f>
        <v/>
      </c>
      <c r="K21" s="26">
        <f>Ряд!H27-Ряд!H21</f>
        <v/>
      </c>
    </row>
    <row r="22" ht="30" customHeight="1">
      <c r="A22" s="4" t="inlineStr">
        <is>
          <t>Избыточный эксцесс приростов</t>
        </is>
      </c>
      <c r="B22" s="4" t="inlineStr">
        <is>
          <t>толщина хвостов приростов: четвёртый момент / σ⁴ − 3</t>
        </is>
      </c>
      <c r="C22" s="15" t="inlineStr">
        <is>
          <t>(SUMPRODUCT((d-AVERAGE(d))^4)/COUNT(d))/(SUMPRODUCT((d-AVERAGE(d))^2)/COUNT(d))^2-3</t>
        </is>
      </c>
      <c r="D22" s="24">
        <f>(SUMPRODUCT((d-AVERAGE(d))^4)/COUNT(d))/(SUMPRODUCT((d-AVERAGE(d))^2)/COUNT(d))^2-3</f>
        <v/>
      </c>
      <c r="E22" s="16" t="inlineStr">
        <is>
          <t>новое</t>
        </is>
      </c>
      <c r="G22" s="26">
        <f>Ряд!H23-Ряд!H22</f>
        <v/>
      </c>
      <c r="H22" s="26">
        <f>Ряд!H24-Ряд!H22</f>
        <v/>
      </c>
      <c r="I22" s="26">
        <f>Ряд!H25-Ряд!H22</f>
        <v/>
      </c>
      <c r="J22" s="26">
        <f>Ряд!H26-Ряд!H22</f>
        <v/>
      </c>
      <c r="K22" s="26">
        <f>Ряд!H28-Ряд!H22</f>
        <v/>
      </c>
    </row>
    <row r="23" ht="30" customHeight="1">
      <c r="A23" s="4" t="inlineStr">
        <is>
          <t>Жарк–Бера по приростам</t>
        </is>
      </c>
      <c r="B23" s="4" t="inlineStr">
        <is>
          <t>сводный тест нормальности: n/6 × (g1² + g2²/4)</t>
        </is>
      </c>
      <c r="C23" s="15" t="inlineStr">
        <is>
          <t>COUNT(d)/6*(D21^2+D22^2/4)</t>
        </is>
      </c>
      <c r="D23" s="24">
        <f>COUNT(d)/6*(D21^2+D22^2/4)</f>
        <v/>
      </c>
      <c r="E23" s="16" t="inlineStr">
        <is>
          <t>новое</t>
        </is>
      </c>
      <c r="G23" s="26">
        <f>Ряд!H24-Ряд!H23</f>
        <v/>
      </c>
      <c r="H23" s="26">
        <f>Ряд!H25-Ряд!H23</f>
        <v/>
      </c>
      <c r="I23" s="26">
        <f>Ряд!H26-Ряд!H23</f>
        <v/>
      </c>
      <c r="J23" s="26">
        <f>Ряд!H27-Ряд!H23</f>
        <v/>
      </c>
      <c r="K23" s="26">
        <f>Ряд!H29-Ряд!H23</f>
        <v/>
      </c>
    </row>
    <row r="24" ht="30" customHeight="1">
      <c r="A24" s="4" t="inlineStr">
        <is>
          <t>Критическое значение 5 %</t>
        </is>
      </c>
      <c r="B24" s="4" t="inlineStr">
        <is>
          <t>порог хи-квадрат с 2 степенями свободы; выше него нормальность отвергается</t>
        </is>
      </c>
      <c r="C24" s="15" t="inlineStr">
        <is>
          <t>5.991</t>
        </is>
      </c>
      <c r="D24" s="25">
        <f>5.991</f>
        <v/>
      </c>
      <c r="E24" s="16" t="inlineStr">
        <is>
          <t>статистическая таблица</t>
        </is>
      </c>
      <c r="G24" s="26">
        <f>Ряд!H25-Ряд!H24</f>
        <v/>
      </c>
      <c r="H24" s="26">
        <f>Ряд!H26-Ряд!H24</f>
        <v/>
      </c>
      <c r="I24" s="26">
        <f>Ряд!H27-Ряд!H24</f>
        <v/>
      </c>
      <c r="J24" s="26">
        <f>Ряд!H28-Ряд!H24</f>
        <v/>
      </c>
      <c r="K24" s="26">
        <f>Ряд!H30-Ряд!H24</f>
        <v/>
      </c>
    </row>
    <row r="25" ht="30" customHeight="1">
      <c r="A25" s="4" t="inlineStr">
        <is>
          <t>Асимметрия 3-месячных изменений</t>
        </is>
      </c>
      <c r="B25" s="4" t="inlineStr">
        <is>
          <t>скошенность того, к чему буфер реально применяется</t>
        </is>
      </c>
      <c r="C25" s="15" t="inlineStr">
        <is>
          <t>(SUMPRODUCT(($I$5:$I$37-AVERAGE($I$5:$I$37))^3)/COUNT($I$5:$I$37))/(SUMPRODUCT(($I$5:$I$37-AVERAGE($I$5:$I$37))^2)/COUNT($I$5:$I$37))^1.5</t>
        </is>
      </c>
      <c r="D25" s="24">
        <f>(SUMPRODUCT(($I$5:$I$37-AVERAGE($I$5:$I$37))^3)/COUNT($I$5:$I$37))/(SUMPRODUCT(($I$5:$I$37-AVERAGE($I$5:$I$37))^2)/COUNT($I$5:$I$37))^1.5</f>
        <v/>
      </c>
      <c r="E25" s="16" t="inlineStr">
        <is>
          <t>новое</t>
        </is>
      </c>
      <c r="G25" s="26">
        <f>Ряд!H26-Ряд!H25</f>
        <v/>
      </c>
      <c r="H25" s="26">
        <f>Ряд!H27-Ряд!H25</f>
        <v/>
      </c>
      <c r="I25" s="26">
        <f>Ряд!H28-Ряд!H25</f>
        <v/>
      </c>
      <c r="J25" s="26">
        <f>Ряд!H29-Ряд!H25</f>
        <v/>
      </c>
      <c r="K25" s="26">
        <f>Ряд!H31-Ряд!H25</f>
        <v/>
      </c>
    </row>
    <row r="26" ht="30" customHeight="1">
      <c r="A26" s="4" t="inlineStr">
        <is>
          <t>Избыточный эксцесс 3-месячных изменений</t>
        </is>
      </c>
      <c r="B26" s="4" t="inlineStr">
        <is>
          <t>толщина хвостов трёхмесячной суммы</t>
        </is>
      </c>
      <c r="C26" s="15" t="inlineStr">
        <is>
          <t>(SUMPRODUCT(($I$5:$I$37-AVERAGE($I$5:$I$37))^4)/COUNT($I$5:$I$37))/(SUMPRODUCT(($I$5:$I$37-AVERAGE($I$5:$I$37))^2)/COUNT($I$5:$I$37))^2-3</t>
        </is>
      </c>
      <c r="D26" s="24">
        <f>(SUMPRODUCT(($I$5:$I$37-AVERAGE($I$5:$I$37))^4)/COUNT($I$5:$I$37))/(SUMPRODUCT(($I$5:$I$37-AVERAGE($I$5:$I$37))^2)/COUNT($I$5:$I$37))^2-3</f>
        <v/>
      </c>
      <c r="E26" s="16" t="inlineStr">
        <is>
          <t>новое</t>
        </is>
      </c>
      <c r="G26" s="26">
        <f>Ряд!H27-Ряд!H26</f>
        <v/>
      </c>
      <c r="H26" s="26">
        <f>Ряд!H28-Ряд!H26</f>
        <v/>
      </c>
      <c r="I26" s="26">
        <f>Ряд!H29-Ряд!H26</f>
        <v/>
      </c>
      <c r="J26" s="26">
        <f>Ряд!H30-Ряд!H26</f>
        <v/>
      </c>
      <c r="K26" s="26">
        <f>Ряд!H32-Ряд!H26</f>
        <v/>
      </c>
    </row>
    <row r="27" ht="30" customHeight="1">
      <c r="A27" s="4" t="inlineStr">
        <is>
          <t>Жарк–Бера по 3-месячным изменениям</t>
        </is>
      </c>
      <c r="B27" s="4" t="inlineStr">
        <is>
          <t>тот же тест на трёхмесячной сумме</t>
        </is>
      </c>
      <c r="C27" s="15" t="inlineStr">
        <is>
          <t>COUNT($I$5:$I$37)/6*(D25^2+D26^2/4)</t>
        </is>
      </c>
      <c r="D27" s="24">
        <f>COUNT($I$5:$I$37)/6*(D25^2+D26^2/4)</f>
        <v/>
      </c>
      <c r="E27" s="16" t="inlineStr">
        <is>
          <t>новое</t>
        </is>
      </c>
      <c r="G27" s="26">
        <f>Ряд!H28-Ряд!H27</f>
        <v/>
      </c>
      <c r="H27" s="26">
        <f>Ряд!H29-Ряд!H27</f>
        <v/>
      </c>
      <c r="I27" s="26">
        <f>Ряд!H30-Ряд!H27</f>
        <v/>
      </c>
      <c r="J27" s="26">
        <f>Ряд!H31-Ряд!H27</f>
        <v/>
      </c>
      <c r="K27" s="26">
        <f>Ряд!H33-Ряд!H27</f>
        <v/>
      </c>
    </row>
    <row r="28" ht="30" customHeight="1">
      <c r="A28" s="4" t="inlineStr">
        <is>
          <t>Что предсказывает ЦПТ</t>
        </is>
      </c>
      <c r="B28" s="4" t="inlineStr">
        <is>
          <t>асимметрия суммы трёх независимых = g1 / √3</t>
        </is>
      </c>
      <c r="C28" s="15" t="inlineStr">
        <is>
          <t>D21/SQRT(3)</t>
        </is>
      </c>
      <c r="D28" s="24">
        <f>D21/SQRT(3)</f>
        <v/>
      </c>
      <c r="E28" s="16" t="inlineStr">
        <is>
          <t>новое</t>
        </is>
      </c>
      <c r="G28" s="26">
        <f>Ряд!H29-Ряд!H28</f>
        <v/>
      </c>
      <c r="H28" s="26">
        <f>Ряд!H30-Ряд!H28</f>
        <v/>
      </c>
      <c r="I28" s="26">
        <f>Ряд!H31-Ряд!H28</f>
        <v/>
      </c>
      <c r="J28" s="26">
        <f>Ряд!H32-Ряд!H28</f>
        <v/>
      </c>
      <c r="K28" s="26">
        <f>Ряд!H34-Ряд!H28</f>
        <v/>
      </c>
    </row>
    <row r="29" ht="58" customHeight="1">
      <c r="A29" s="2" t="inlineStr">
        <is>
          <t>Главный довод: буфер применяется не к приростам, а к их трёхмесячной СУММЕ. У приростов асимметрия 0,67 — заметная. У трёхмесячной суммы 0,04, то есть она исчезла, и даже быстрее, чем требовала ЦПТ (0,39). Жарк–Бера 2,70 против критических 5,99 — нормальность не отвергается даже на приростах. И третье: z(0,90) = 1,28 лежит в теле распределения, а не в хвосте; ошибки нормальности бьют на 99 % и 99,9 %, а не на 90 %.</t>
        </is>
      </c>
      <c r="G29" s="26">
        <f>Ряд!H30-Ряд!H29</f>
        <v/>
      </c>
      <c r="H29" s="26">
        <f>Ряд!H31-Ряд!H29</f>
        <v/>
      </c>
      <c r="I29" s="26">
        <f>Ряд!H32-Ряд!H29</f>
        <v/>
      </c>
      <c r="J29" s="26">
        <f>Ряд!H33-Ряд!H29</f>
        <v/>
      </c>
      <c r="K29" s="26">
        <f>Ряд!H35-Ряд!H29</f>
        <v/>
      </c>
    </row>
    <row r="30">
      <c r="A30" s="22" t="inlineStr">
        <is>
          <t>3. Буфер M(3) четырьмя независимыми способами</t>
        </is>
      </c>
      <c r="B30" s="23" t="n"/>
      <c r="C30" s="23" t="n"/>
      <c r="D30" s="23" t="n"/>
      <c r="E30" s="23" t="n"/>
      <c r="G30" s="26">
        <f>Ряд!H31-Ряд!H30</f>
        <v/>
      </c>
      <c r="H30" s="26">
        <f>Ряд!H32-Ряд!H30</f>
        <v/>
      </c>
      <c r="I30" s="26">
        <f>Ряд!H33-Ряд!H30</f>
        <v/>
      </c>
      <c r="J30" s="26">
        <f>Ряд!H34-Ряд!H30</f>
        <v/>
      </c>
      <c r="K30" s="26">
        <f>Ряд!H36-Ряд!H30</f>
        <v/>
      </c>
    </row>
    <row r="31" ht="30" customHeight="1">
      <c r="A31" s="4" t="inlineStr">
        <is>
          <t>Нормальная модель z·σ_Δ·√3</t>
        </is>
      </c>
      <c r="B31" s="4" t="inlineStr">
        <is>
          <t>то, что стоит в расчёте</t>
        </is>
      </c>
      <c r="C31" s="15" t="inlineStr">
        <is>
          <t>z_p*'Расчёт'!D6*SQRT(3)</t>
        </is>
      </c>
      <c r="D31" s="24">
        <f>z_p*'Расчёт'!D6*SQRT(3)</f>
        <v/>
      </c>
      <c r="E31" s="16" t="inlineStr">
        <is>
          <t>DISCLOSURE § 2.3</t>
        </is>
      </c>
      <c r="G31" s="26">
        <f>Ряд!H32-Ряд!H31</f>
        <v/>
      </c>
      <c r="H31" s="26">
        <f>Ряд!H33-Ряд!H31</f>
        <v/>
      </c>
      <c r="I31" s="26">
        <f>Ряд!H34-Ряд!H31</f>
        <v/>
      </c>
      <c r="J31" s="26">
        <f>Ряд!H35-Ряд!H31</f>
        <v/>
      </c>
      <c r="K31" s="26">
        <f>Ряд!H37-Ряд!H31</f>
        <v/>
      </c>
    </row>
    <row r="32" ht="30" customHeight="1">
      <c r="A32" s="4" t="inlineStr">
        <is>
          <t>Эмпирический 90-й процентиль</t>
        </is>
      </c>
      <c r="B32" s="4" t="inlineStr">
        <is>
          <t>90 % реальных 3-месячных изменений не превысили эту величину</t>
        </is>
      </c>
      <c r="C32" s="15" t="inlineStr">
        <is>
          <t>PERCENTILE($I$5:$I$37,p_conf)</t>
        </is>
      </c>
      <c r="D32" s="24">
        <f>PERCENTILE($I$5:$I$37,p_conf)</f>
        <v/>
      </c>
      <c r="E32" s="16" t="inlineStr">
        <is>
          <t>новое</t>
        </is>
      </c>
      <c r="G32" s="26">
        <f>Ряд!H33-Ряд!H32</f>
        <v/>
      </c>
      <c r="H32" s="26">
        <f>Ряд!H34-Ряд!H32</f>
        <v/>
      </c>
      <c r="I32" s="26">
        <f>Ряд!H35-Ряд!H32</f>
        <v/>
      </c>
      <c r="J32" s="26">
        <f>Ряд!H36-Ряд!H32</f>
        <v/>
      </c>
      <c r="K32" s="26">
        <f>Ряд!H38-Ряд!H32</f>
        <v/>
      </c>
    </row>
    <row r="33" ht="30" customHeight="1">
      <c r="A33" s="4" t="inlineStr">
        <is>
          <t>Корниш–Фишер</t>
        </is>
      </c>
      <c r="B33" s="4" t="inlineStr">
        <is>
          <t>нормальный квантиль с поправкой на асимметрию и эксцесс суммы</t>
        </is>
      </c>
      <c r="C33" s="15" t="inlineStr">
        <is>
          <t>(z_p+(z_p^2-1)/6*D21/SQRT(3)+(z_p^3-3*z_p)/24*D22/3-(2*z_p^3-5*z_p)/36*(D21/SQRT(3))^2)*'Расчёт'!D6*SQRT(3)</t>
        </is>
      </c>
      <c r="D33" s="24">
        <f>(z_p+(z_p^2-1)/6*D21/SQRT(3)+(z_p^3-3*z_p)/24*D22/3-(2*z_p^3-5*z_p)/36*(D21/SQRT(3))^2)*'Расчёт'!D6*SQRT(3)</f>
        <v/>
      </c>
      <c r="E33" s="16" t="inlineStr">
        <is>
          <t>новое</t>
        </is>
      </c>
      <c r="G33" s="26">
        <f>Ряд!H34-Ряд!H33</f>
        <v/>
      </c>
      <c r="H33" s="26">
        <f>Ряд!H35-Ряд!H33</f>
        <v/>
      </c>
      <c r="I33" s="26">
        <f>Ряд!H36-Ряд!H33</f>
        <v/>
      </c>
      <c r="J33" s="26">
        <f>Ряд!H37-Ряд!H33</f>
        <v/>
      </c>
      <c r="K33" s="26">
        <f>Ряд!H39-Ряд!H33</f>
        <v/>
      </c>
    </row>
    <row r="34" ht="30" customHeight="1">
      <c r="A34" s="4" t="inlineStr">
        <is>
          <t>Разброс трёх способов, %</t>
        </is>
      </c>
      <c r="B34" s="4" t="inlineStr">
        <is>
          <t>насколько максимальный ответ выше минимального</t>
        </is>
      </c>
      <c r="C34" s="15" t="inlineStr">
        <is>
          <t>MAX(D31,D32,D33)/MIN(D31,D32,D33)*100-100</t>
        </is>
      </c>
      <c r="D34" s="24">
        <f>MAX(D31,D32,D33)/MIN(D31,D32,D33)*100-100</f>
        <v/>
      </c>
      <c r="E34" s="16" t="inlineStr">
        <is>
          <t>новое</t>
        </is>
      </c>
      <c r="G34" s="26">
        <f>Ряд!H35-Ряд!H34</f>
        <v/>
      </c>
      <c r="H34" s="26">
        <f>Ряд!H36-Ряд!H34</f>
        <v/>
      </c>
      <c r="I34" s="26">
        <f>Ряд!H37-Ряд!H34</f>
        <v/>
      </c>
      <c r="J34" s="26">
        <f>Ряд!H38-Ряд!H34</f>
        <v/>
      </c>
      <c r="K34" s="26">
        <f>Ряд!H40-Ряд!H34</f>
        <v/>
      </c>
    </row>
    <row r="35" ht="30" customHeight="1">
      <c r="A35" s="4" t="inlineStr">
        <is>
          <t>Стандартная ошибка самой σ_Δ</t>
        </is>
      </c>
      <c r="B35" s="4" t="inlineStr">
        <is>
          <t>точность оценки σ по 35 наблюдениям: σ / √(2(n−1))</t>
        </is>
      </c>
      <c r="C35" s="15" t="inlineStr">
        <is>
          <t>'Расчёт'!D6/SQRT(2*(COUNT(d)-1))</t>
        </is>
      </c>
      <c r="D35" s="24">
        <f>'Расчёт'!D6/SQRT(2*(COUNT(d)-1))</f>
        <v/>
      </c>
      <c r="E35" s="16" t="inlineStr">
        <is>
          <t>новое</t>
        </is>
      </c>
      <c r="G35" s="26">
        <f>Ряд!H36-Ряд!H35</f>
        <v/>
      </c>
      <c r="H35" s="26">
        <f>Ряд!H37-Ряд!H35</f>
        <v/>
      </c>
      <c r="I35" s="26">
        <f>Ряд!H38-Ряд!H35</f>
        <v/>
      </c>
      <c r="J35" s="26">
        <f>Ряд!H39-Ряд!H35</f>
        <v/>
      </c>
    </row>
    <row r="36" ht="30" customHeight="1">
      <c r="A36" s="4" t="inlineStr">
        <is>
          <t>Она же в единицах M(3)</t>
        </is>
      </c>
      <c r="B36" s="4" t="inlineStr">
        <is>
          <t>z · SE(σ) · √3 — неопределённость буфера</t>
        </is>
      </c>
      <c r="C36" s="15" t="inlineStr">
        <is>
          <t>z_p*D35*SQRT(3)</t>
        </is>
      </c>
      <c r="D36" s="24">
        <f>z_p*D35*SQRT(3)</f>
        <v/>
      </c>
      <c r="E36" s="16" t="inlineStr">
        <is>
          <t>новое</t>
        </is>
      </c>
      <c r="G36" s="26">
        <f>Ряд!H37-Ряд!H36</f>
        <v/>
      </c>
      <c r="H36" s="26">
        <f>Ряд!H38-Ряд!H36</f>
        <v/>
      </c>
      <c r="I36" s="26">
        <f>Ряд!H39-Ряд!H36</f>
        <v/>
      </c>
      <c r="J36" s="26">
        <f>Ряд!H40-Ряд!H36</f>
        <v/>
      </c>
    </row>
    <row r="37" ht="58" customHeight="1">
      <c r="A37" s="2" t="inlineStr">
        <is>
          <t>Все три непараметрических способа дают буфер ВЫШЕ нормальной модели, разброс 3,6 %. Направление систематическое: нормальная модель тонковата примерно на 0,33 пп. Поправка сознательно не вносится — собственная погрешность σ_Δ равна ±1,09 пп, то есть втрое больше смещения. Но записано это должно быть явно: ровно за молчание о выборе σ мы критикуем метод B в Р-Д1. Четвёртый способ — бутстрап 200 тыс. сумм трёх случайно взятых приростов — даёт 9,3688; в Excel без макросов он не воспроизводится и потому в таблицу не вынесен.</t>
        </is>
      </c>
      <c r="G37" s="26">
        <f>Ряд!H38-Ряд!H37</f>
        <v/>
      </c>
      <c r="H37" s="26">
        <f>Ряд!H39-Ряд!H37</f>
        <v/>
      </c>
      <c r="I37" s="26">
        <f>Ряд!H40-Ряд!H37</f>
        <v/>
      </c>
    </row>
    <row r="38">
      <c r="A38" s="22" t="inlineStr">
        <is>
          <t>4. Дрейф</t>
        </is>
      </c>
      <c r="B38" s="23" t="n"/>
      <c r="C38" s="23" t="n"/>
      <c r="D38" s="23" t="n"/>
      <c r="E38" s="23" t="n"/>
      <c r="G38" s="26">
        <f>Ряд!H39-Ряд!H38</f>
        <v/>
      </c>
      <c r="H38" s="26">
        <f>Ряд!H40-Ряд!H38</f>
        <v/>
      </c>
    </row>
    <row r="39" ht="30" customHeight="1">
      <c r="A39" s="4" t="inlineStr">
        <is>
          <t>Средний прирост за месяц</t>
        </is>
      </c>
      <c r="B39" s="4" t="inlineStr">
        <is>
          <t>есть ли систематический снос ряда вверх</t>
        </is>
      </c>
      <c r="C39" s="15" t="inlineStr">
        <is>
          <t>AVERAGE(d)</t>
        </is>
      </c>
      <c r="D39" s="24">
        <f>AVERAGE(d)</f>
        <v/>
      </c>
      <c r="E39" s="16" t="inlineStr">
        <is>
          <t>новое</t>
        </is>
      </c>
      <c r="G39" s="26">
        <f>Ряд!H40-Ряд!H39</f>
        <v/>
      </c>
    </row>
    <row r="40" ht="30" customHeight="1">
      <c r="A40" s="4" t="inlineStr">
        <is>
          <t>Дрейф за 3 месяца</t>
        </is>
      </c>
      <c r="B40" s="4" t="inlineStr">
        <is>
          <t>во что он превращается на горизонте буфера</t>
        </is>
      </c>
      <c r="C40" s="15" t="inlineStr">
        <is>
          <t>AVERAGE(d)*3</t>
        </is>
      </c>
      <c r="D40" s="24">
        <f>AVERAGE(d)*3</f>
        <v/>
      </c>
      <c r="E40" s="16" t="inlineStr">
        <is>
          <t>новое</t>
        </is>
      </c>
    </row>
    <row r="41" ht="30" customHeight="1">
      <c r="A41" s="2" t="inlineStr">
        <is>
          <t>0,10 пп против буфера 9,03 — меньше 1 %. Допущение нулевого дрейфа безвредно, слагаемое μ·T в формулу не добавляется.</t>
        </is>
      </c>
    </row>
    <row r="43" ht="32" customHeight="1">
      <c r="A43" s="2" t="inlineStr">
        <is>
          <t>Калибровка порога: выше 89 % лимита сигнальный уровень теряет две трети запаса времени. Данные не затронуты переходом на лестницу — считаны по top20_signal_calibration.csv.</t>
        </is>
      </c>
    </row>
  </sheetData>
  <mergeCells count="7">
    <mergeCell ref="A29:E29"/>
    <mergeCell ref="A2:E2"/>
    <mergeCell ref="A41:E41"/>
    <mergeCell ref="A19:E19"/>
    <mergeCell ref="A37:E37"/>
    <mergeCell ref="A8:E8"/>
    <mergeCell ref="A43:G43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9"/>
  <sheetViews>
    <sheetView workbookViewId="0">
      <selection activeCell="A1" sqref="A1"/>
    </sheetView>
  </sheetViews>
  <sheetFormatPr baseColWidth="8" defaultRowHeight="15"/>
  <cols>
    <col width="20" customWidth="1" min="1" max="1"/>
    <col width="26" customWidth="1" min="2" max="2"/>
    <col width="26" customWidth="1" min="3" max="3"/>
    <col width="42" customWidth="1" min="4" max="4"/>
    <col width="30" customWidth="1" min="5" max="5"/>
    <col width="9" customWidth="1" min="6" max="6"/>
    <col width="9" customWidth="1" min="7" max="7"/>
  </cols>
  <sheetData>
    <row r="1">
      <c r="A1" s="1" t="inlineStr">
        <is>
          <t>Светофор: зоны, определения, границы, действия</t>
        </is>
      </c>
    </row>
    <row r="2" ht="44" customHeight="1">
      <c r="A2" s="2" t="inlineStr">
        <is>
          <t>Определения зон — дословно п. 18 Правил № 86 (Правила формирования системы управления рисками и внутреннего контроля, постановление Правления АРРФР от 28.04.2026 № 86, Минюст № 38586 от 29.04.2026). Своих формулировок здесь нет. Границы считаются из волатильности самой метрики, лимит приходит из Приложения № 3 к Политике — подобранных чисел на листе нет ни одного.</t>
        </is>
      </c>
    </row>
    <row r="4" ht="32" customHeight="1">
      <c r="A4" s="5" t="inlineStr">
        <is>
          <t>Зона</t>
        </is>
      </c>
      <c r="B4" s="5" t="inlineStr">
        <is>
          <t>Определение по п. 18 Правил № 86</t>
        </is>
      </c>
      <c r="C4" s="5" t="inlineStr">
        <is>
          <t>Нижняя граница</t>
        </is>
      </c>
      <c r="D4" s="5" t="inlineStr">
        <is>
          <t>Верхняя граница</t>
        </is>
      </c>
      <c r="E4" s="5" t="inlineStr">
        <is>
          <t>Формула границы</t>
        </is>
      </c>
      <c r="F4" s="5" t="inlineStr">
        <is>
          <t>Набл.</t>
        </is>
      </c>
      <c r="G4" s="5" t="inlineStr">
        <is>
          <t>Доля, %</t>
        </is>
      </c>
    </row>
    <row r="5" ht="56" customHeight="1">
      <c r="A5" s="27" t="inlineStr">
        <is>
          <t>Зелёная</t>
        </is>
      </c>
      <c r="B5" s="28" t="inlineStr">
        <is>
          <t>уровень, не требующий применения корректирующих мер</t>
        </is>
      </c>
      <c r="C5" s="29" t="inlineStr">
        <is>
          <t>—</t>
        </is>
      </c>
      <c r="D5" s="29">
        <f>'Расчёт'!D29</f>
        <v/>
      </c>
      <c r="E5" s="30" t="inlineStr">
        <is>
          <t>— … L − M(4)</t>
        </is>
      </c>
      <c r="F5" s="31">
        <f>COUNTIF(v,"&lt;"&amp;'Расчёт'!D29)</f>
        <v/>
      </c>
      <c r="G5" s="32">
        <f>F5/COUNT(v)*100</f>
        <v/>
      </c>
    </row>
    <row r="6" ht="56" customHeight="1">
      <c r="A6" s="33" t="inlineStr">
        <is>
          <t>Жёлтая</t>
        </is>
      </c>
      <c r="B6" s="34" t="inlineStr">
        <is>
          <t>уровень, определённый как допустимый, но требующий отдельных корректирующих мер в действующих процедурах системы управления рисками с целью снижения уровня риска</t>
        </is>
      </c>
      <c r="C6" s="35">
        <f>'Расчёт'!D29</f>
        <v/>
      </c>
      <c r="D6" s="35">
        <f>'Расчёт'!D17</f>
        <v/>
      </c>
      <c r="E6" s="36" t="inlineStr">
        <is>
          <t>L − M(4) … L − M(1)</t>
        </is>
      </c>
      <c r="F6" s="37">
        <f>COUNTIFS(v,"&gt;="&amp;'Расчёт'!D29,v,"&lt;"&amp;'Расчёт'!D17)</f>
        <v/>
      </c>
      <c r="G6" s="38">
        <f>F6/COUNT(v)*100</f>
        <v/>
      </c>
    </row>
    <row r="7" ht="56" customHeight="1">
      <c r="A7" s="39" t="inlineStr">
        <is>
          <t>Красная</t>
        </is>
      </c>
      <c r="B7" s="40" t="inlineStr">
        <is>
          <t>уровень, определённый как высокий, требующий применения соответствующих мер с целью недопущения ухудшения финансовой устойчивости банка и его платёжеспособности</t>
        </is>
      </c>
      <c r="C7" s="41">
        <f>'Расчёт'!D17</f>
        <v/>
      </c>
      <c r="D7" s="41">
        <f>'Расчёт'!D12</f>
        <v/>
      </c>
      <c r="E7" s="42" t="inlineStr">
        <is>
          <t>L − M(1) … L</t>
        </is>
      </c>
      <c r="F7" s="43">
        <f>COUNTIFS(v,"&gt;="&amp;'Расчёт'!D17,v,"&lt;"&amp;'Расчёт'!D12)</f>
        <v/>
      </c>
      <c r="G7" s="44">
        <f>F7/COUNT(v)*100</f>
        <v/>
      </c>
    </row>
    <row r="8" ht="56" customHeight="1">
      <c r="A8" s="45" t="inlineStr">
        <is>
          <t>Нарушение лимита</t>
        </is>
      </c>
      <c r="B8" s="46" t="inlineStr">
        <is>
          <t>действующий уровень риск-аппетита превышен. Отдельное состояние, а не зона: зоны описывают уровень риска, лимит — обязательство</t>
        </is>
      </c>
      <c r="C8" s="47">
        <f>'Расчёт'!D12</f>
        <v/>
      </c>
      <c r="D8" s="47" t="inlineStr">
        <is>
          <t>—</t>
        </is>
      </c>
      <c r="E8" s="48" t="inlineStr">
        <is>
          <t>L … —</t>
        </is>
      </c>
      <c r="F8" s="49">
        <f>COUNTIF(v,"&gt;="&amp;'Расчёт'!D12)</f>
        <v/>
      </c>
      <c r="G8" s="50">
        <f>F8/COUNT(v)*100</f>
        <v/>
      </c>
    </row>
    <row r="9">
      <c r="A9" s="51" t="inlineStr">
        <is>
          <t>Всего</t>
        </is>
      </c>
      <c r="B9" s="52" t="n"/>
      <c r="C9" s="52" t="n"/>
      <c r="D9" s="52" t="n"/>
      <c r="E9" s="52" t="n"/>
      <c r="F9" s="53">
        <f>SUM(F5:F8)</f>
        <v/>
      </c>
      <c r="G9" s="54">
        <f>F9/COUNT(v)*100</f>
        <v/>
      </c>
    </row>
    <row r="11">
      <c r="A11" s="22" t="inlineStr">
        <is>
          <t>Где мы сейчас, 01.07.2026</t>
        </is>
      </c>
      <c r="B11" s="23" t="n"/>
      <c r="C11" s="23" t="n"/>
      <c r="D11" s="23" t="n"/>
      <c r="E11" s="23" t="n"/>
      <c r="F11" s="23" t="n"/>
      <c r="G11" s="23" t="n"/>
    </row>
    <row r="12">
      <c r="A12" s="6" t="inlineStr">
        <is>
          <t>Текущее значение метрики</t>
        </is>
      </c>
      <c r="B12" s="24">
        <f>'Расчёт'!D8</f>
        <v/>
      </c>
      <c r="C12" s="16" t="inlineStr">
        <is>
          <t>доля топ-20 в собственном капитале, балансовая база</t>
        </is>
      </c>
      <c r="D12" s="55" t="n"/>
      <c r="E12" s="55" t="n"/>
      <c r="F12" s="55" t="n"/>
      <c r="G12" s="56" t="n"/>
    </row>
    <row r="13">
      <c r="A13" s="6" t="inlineStr">
        <is>
          <t>Граница зелёная / жёлтая</t>
        </is>
      </c>
      <c r="B13" s="24">
        <f>'Расчёт'!D29</f>
        <v/>
      </c>
      <c r="C13" s="16" t="inlineStr">
        <is>
          <t>L − M(4)</t>
        </is>
      </c>
      <c r="D13" s="55" t="n"/>
      <c r="E13" s="55" t="n"/>
      <c r="F13" s="55" t="n"/>
      <c r="G13" s="56" t="n"/>
    </row>
    <row r="14">
      <c r="A14" s="6" t="inlineStr">
        <is>
          <t>Граница жёлтая / красная</t>
        </is>
      </c>
      <c r="B14" s="24">
        <f>'Расчёт'!D17</f>
        <v/>
      </c>
      <c r="C14" s="16" t="inlineStr">
        <is>
          <t>L − M(1)</t>
        </is>
      </c>
      <c r="D14" s="55" t="n"/>
      <c r="E14" s="55" t="n"/>
      <c r="F14" s="55" t="n"/>
      <c r="G14" s="56" t="n"/>
    </row>
    <row r="15">
      <c r="A15" s="6" t="inlineStr">
        <is>
          <t>Лимит</t>
        </is>
      </c>
      <c r="B15" s="24">
        <f>'Расчёт'!D12</f>
        <v/>
      </c>
      <c r="C15" s="16" t="inlineStr">
        <is>
          <t>95 % в регуляторной базе ÷ k</t>
        </is>
      </c>
      <c r="D15" s="55" t="n"/>
      <c r="E15" s="55" t="n"/>
      <c r="F15" s="55" t="n"/>
      <c r="G15" s="56" t="n"/>
    </row>
    <row r="16">
      <c r="A16" s="6" t="inlineStr">
        <is>
          <t>До красной, пп</t>
        </is>
      </c>
      <c r="B16" s="24">
        <f>'Расчёт'!D17-'Расчёт'!D8</f>
        <v/>
      </c>
      <c r="C16" s="16" t="inlineStr">
        <is>
          <t>меньше половины одного месячного σ</t>
        </is>
      </c>
      <c r="D16" s="55" t="n"/>
      <c r="E16" s="55" t="n"/>
      <c r="F16" s="55" t="n"/>
      <c r="G16" s="56" t="n"/>
    </row>
    <row r="17">
      <c r="A17" s="6" t="inlineStr">
        <is>
          <t>До лимита, пп</t>
        </is>
      </c>
      <c r="B17" s="24">
        <f>'Расчёт'!D12-'Расчёт'!D8</f>
        <v/>
      </c>
      <c r="C17" s="16" t="inlineStr"/>
      <c r="D17" s="55" t="n"/>
      <c r="E17" s="55" t="n"/>
      <c r="F17" s="55" t="n"/>
      <c r="G17" s="56" t="n"/>
    </row>
    <row r="18">
      <c r="A18" s="6" t="inlineStr">
        <is>
          <t>T* — месяцев до лимита</t>
        </is>
      </c>
      <c r="B18" s="24">
        <f>'Расчёт'!D45</f>
        <v/>
      </c>
      <c r="C18" s="16" t="inlineStr">
        <is>
          <t>((L − v) / (z·σ))²</t>
        </is>
      </c>
      <c r="D18" s="55" t="n"/>
      <c r="E18" s="55" t="n"/>
      <c r="F18" s="55" t="n"/>
      <c r="G18" s="56" t="n"/>
    </row>
    <row r="19">
      <c r="A19" s="6" t="inlineStr">
        <is>
          <t>Зона текущей точки</t>
        </is>
      </c>
      <c r="B19" s="57">
        <f>IF('Расчёт'!D8&gt;='Расчёт'!D12,"НАРУШЕНИЕ ЛИМИТА",IF('Расчёт'!D8&gt;='Расчёт'!D17,"КРАСНАЯ",IF('Расчёт'!D8&gt;='Расчёт'!D29,"ЖЁЛТАЯ","ЗЕЛЁНАЯ")))</f>
        <v/>
      </c>
      <c r="C19" s="16" t="inlineStr">
        <is>
          <t>Жёлтая означает: уровень допустим, но требует отдельных корректирующих мер в действующих процедурах.</t>
        </is>
      </c>
      <c r="D19" s="55" t="n"/>
      <c r="E19" s="55" t="n"/>
      <c r="F19" s="55" t="n"/>
      <c r="G19" s="56" t="n"/>
    </row>
    <row r="21">
      <c r="A21" s="22" t="inlineStr">
        <is>
          <t>Сколько стоит смена зоны, млн ₸</t>
        </is>
      </c>
      <c r="B21" s="23" t="n"/>
      <c r="C21" s="23" t="n"/>
      <c r="D21" s="23" t="n"/>
      <c r="E21" s="23" t="n"/>
      <c r="F21" s="23" t="n"/>
      <c r="G21" s="23" t="n"/>
    </row>
    <row r="22">
      <c r="A22" s="13" t="inlineStr">
        <is>
          <t>Что сделать</t>
        </is>
      </c>
      <c r="B22" s="13" t="inlineStr">
        <is>
          <t>Через задолженность топ-20</t>
        </is>
      </c>
      <c r="C22" s="13" t="inlineStr">
        <is>
          <t>Через собственный капитал</t>
        </is>
      </c>
      <c r="D22" s="13" t="inlineStr">
        <is>
          <t>Комментарий</t>
        </is>
      </c>
      <c r="E22" s="55" t="n"/>
      <c r="F22" s="55" t="n"/>
      <c r="G22" s="56" t="n"/>
    </row>
    <row r="23">
      <c r="A23" s="6" t="inlineStr">
        <is>
          <t>Вернуться в зелёную</t>
        </is>
      </c>
      <c r="B23" s="58">
        <f>'Расчёт'!D29/100*Ряд!D40-Ряд!B40</f>
        <v/>
      </c>
      <c r="C23" s="58">
        <f>Ряд!B40/('Расчёт'!D29/100)-Ряд!D40</f>
        <v/>
      </c>
      <c r="D23" s="16" t="inlineStr">
        <is>
          <t>самая дорогая из трёх: 3,3 пп ниже текущей точки</t>
        </is>
      </c>
      <c r="E23" s="55" t="n"/>
      <c r="F23" s="55" t="n"/>
      <c r="G23" s="56" t="n"/>
    </row>
    <row r="24">
      <c r="A24" s="6" t="inlineStr">
        <is>
          <t>Не войти в красную</t>
        </is>
      </c>
      <c r="B24" s="58">
        <f>'Расчёт'!D17/100*Ряд!D40-Ряд!B40</f>
        <v/>
      </c>
      <c r="C24" s="58">
        <f>Ряд!B40/('Расчёт'!D17/100)-Ряд!D40</f>
        <v/>
      </c>
      <c r="D24" s="16" t="inlineStr">
        <is>
          <t>запас, который есть сейчас; один средний месяц по σ больше него вдвое</t>
        </is>
      </c>
      <c r="E24" s="55" t="n"/>
      <c r="F24" s="55" t="n"/>
      <c r="G24" s="56" t="n"/>
    </row>
    <row r="25">
      <c r="A25" s="6" t="inlineStr">
        <is>
          <t>Не нарушить лимит</t>
        </is>
      </c>
      <c r="B25" s="58">
        <f>'Расчёт'!D12/100*Ряд!D40-Ряд!B40</f>
        <v/>
      </c>
      <c r="C25" s="58">
        <f>Ряд!B40/('Расчёт'!D12/100)-Ряд!D40</f>
        <v/>
      </c>
      <c r="D25" s="16" t="inlineStr">
        <is>
          <t>формальный запас до обязательства</t>
        </is>
      </c>
      <c r="E25" s="55" t="n"/>
      <c r="F25" s="55" t="n"/>
      <c r="G25" s="56" t="n"/>
    </row>
    <row r="26" ht="44" customHeight="1">
      <c r="A26" s="21" t="inlineStr">
        <is>
          <t>Масштаб, определяющий всё остальное: одно среднее месячное движение по σ_Δ равно 17 989 млн ₸ задолженности при текущем капитале. Это вдвое больше запаса до красной зоны. Меры, которые начинают выбирать в момент срабатывания, опаздывают по построению — отсюда требование п. 18 № 86 брать их из ДЕЙСТВУЮЩИХ процедур, а не сочинять.</t>
        </is>
      </c>
    </row>
    <row r="28">
      <c r="A28" s="22" t="inlineStr">
        <is>
          <t>Вероятность достичь границы за T месяцев</t>
        </is>
      </c>
      <c r="B28" s="23" t="n"/>
      <c r="C28" s="23" t="n"/>
      <c r="D28" s="23" t="n"/>
      <c r="E28" s="23" t="n"/>
      <c r="F28" s="23" t="n"/>
      <c r="G28" s="23" t="n"/>
    </row>
    <row r="29">
      <c r="A29" s="13" t="inlineStr">
        <is>
          <t>Граница</t>
        </is>
      </c>
      <c r="B29" s="13" t="inlineStr">
        <is>
          <t>1 месяц</t>
        </is>
      </c>
      <c r="C29" s="13" t="inlineStr">
        <is>
          <t>2 месяца</t>
        </is>
      </c>
      <c r="D29" s="13" t="inlineStr">
        <is>
          <t>3 месяца</t>
        </is>
      </c>
      <c r="E29" s="13" t="inlineStr">
        <is>
          <t>6 месяцев</t>
        </is>
      </c>
      <c r="F29" s="13" t="inlineStr">
        <is>
          <t>Разрыв, пп</t>
        </is>
      </c>
    </row>
    <row r="30">
      <c r="A30" s="6" t="inlineStr">
        <is>
          <t>Войти в красную зону</t>
        </is>
      </c>
      <c r="B30" s="20">
        <f>(1-NORMSDIST(('Расчёт'!D17-'Расчёт'!D8)/('Расчёт'!D6*SQRT(1))))*100</f>
        <v/>
      </c>
      <c r="C30" s="20">
        <f>(1-NORMSDIST(('Расчёт'!D17-'Расчёт'!D8)/('Расчёт'!D6*SQRT(2))))*100</f>
        <v/>
      </c>
      <c r="D30" s="20">
        <f>(1-NORMSDIST(('Расчёт'!D17-'Расчёт'!D8)/('Расчёт'!D6*SQRT(3))))*100</f>
        <v/>
      </c>
      <c r="E30" s="20">
        <f>(1-NORMSDIST(('Расчёт'!D17-'Расчёт'!D8)/('Расчёт'!D6*SQRT(6))))*100</f>
        <v/>
      </c>
      <c r="F30" s="9">
        <f>'Расчёт'!D17-'Расчёт'!D8</f>
        <v/>
      </c>
    </row>
    <row r="31">
      <c r="A31" s="6" t="inlineStr">
        <is>
          <t>Нарушить лимит</t>
        </is>
      </c>
      <c r="B31" s="20">
        <f>(1-NORMSDIST(('Расчёт'!D12-'Расчёт'!D8)/('Расчёт'!D6*SQRT(1))))*100</f>
        <v/>
      </c>
      <c r="C31" s="20">
        <f>(1-NORMSDIST(('Расчёт'!D12-'Расчёт'!D8)/('Расчёт'!D6*SQRT(2))))*100</f>
        <v/>
      </c>
      <c r="D31" s="20">
        <f>(1-NORMSDIST(('Расчёт'!D12-'Расчёт'!D8)/('Расчёт'!D6*SQRT(3))))*100</f>
        <v/>
      </c>
      <c r="E31" s="20">
        <f>(1-NORMSDIST(('Расчёт'!D12-'Расчёт'!D8)/('Расчёт'!D6*SQRT(6))))*100</f>
        <v/>
      </c>
      <c r="F31" s="9">
        <f>'Расчёт'!D12-'Расчёт'!D8</f>
        <v/>
      </c>
    </row>
    <row r="32" ht="40" customHeight="1">
      <c r="A32" s="21" t="inlineStr">
        <is>
          <t>Считано по нормальной модели с нулевым дрейфом — тем же допущением, что и M(T), и проверенным на листе «Обоснование M(T)». Главное число: вероятность войти в красную зону в течение одного месяца — около 32 %. Это не прогноз, а мера близости: разрыв до красной меньше половины месячного σ.</t>
        </is>
      </c>
    </row>
    <row r="34">
      <c r="A34" s="22" t="inlineStr">
        <is>
          <t>План действий по зонам — предложение, требующее решений</t>
        </is>
      </c>
      <c r="B34" s="23" t="n"/>
      <c r="C34" s="23" t="n"/>
      <c r="D34" s="23" t="n"/>
      <c r="E34" s="23" t="n"/>
      <c r="F34" s="23" t="n"/>
      <c r="G34" s="23" t="n"/>
    </row>
    <row r="35" ht="30" customHeight="1">
      <c r="A35" s="5" t="inlineStr">
        <is>
          <t>Зона</t>
        </is>
      </c>
      <c r="B35" s="5" t="inlineStr">
        <is>
          <t>Наблюдение</t>
        </is>
      </c>
      <c r="C35" s="5" t="inlineStr">
        <is>
          <t>Уведомление</t>
        </is>
      </c>
      <c r="D35" s="5" t="inlineStr">
        <is>
          <t>Меры</t>
        </is>
      </c>
      <c r="E35" s="5" t="inlineStr">
        <is>
          <t>Что документируется</t>
        </is>
      </c>
      <c r="F35" s="5" t="inlineStr">
        <is>
          <t>Вопрос, который надо закрыть</t>
        </is>
      </c>
      <c r="G35" s="56" t="n"/>
    </row>
    <row r="36" ht="92" customHeight="1">
      <c r="A36" s="27" t="inlineStr">
        <is>
          <t>Зелёная</t>
        </is>
      </c>
      <c r="B36" s="4" t="inlineStr">
        <is>
          <t>Ежемесячно, штатный отчёт</t>
        </is>
      </c>
      <c r="C36" s="4" t="inlineStr">
        <is>
          <t>Штатный отчёт</t>
        </is>
      </c>
      <c r="D36" s="4" t="inlineStr">
        <is>
          <t>Не требуются</t>
        </is>
      </c>
      <c r="E36" s="4" t="inlineStr">
        <is>
          <t>—</t>
        </is>
      </c>
      <c r="F36" s="16" t="inlineStr">
        <is>
          <t>Ничего. Формулировка зоны прямо говорит «не требующий мер» — добавлять действия сюда значит противоречить определению</t>
        </is>
      </c>
      <c r="G36" s="56" t="n"/>
    </row>
    <row r="37" ht="92" customHeight="1">
      <c r="A37" s="33" t="inlineStr">
        <is>
          <t>Жёлтая</t>
        </is>
      </c>
      <c r="B37" s="4" t="inlineStr">
        <is>
          <t>Еженедельно, с гистерезисом</t>
        </is>
      </c>
      <c r="C37" s="4" t="inlineStr">
        <is>
          <t>БРМ → КРВК, срок не установлен</t>
        </is>
      </c>
      <c r="D37" s="4" t="inlineStr">
        <is>
          <t>Из действующих процедур: получение денежного обеспечения (вычитается из числителя метрики напрямую); остановка прироста задолженности топ-20 и пролонгаций</t>
        </is>
      </c>
      <c r="E37" s="4" t="inlineStr">
        <is>
          <t>Решение о применении меры либо мотивированный отказ</t>
        </is>
      </c>
      <c r="F37" s="16" t="inlineStr">
        <is>
          <t>1) Какие именно действующие процедуры содержат эти меры — норма требует брать существующие, а не вводить новые. 2) N месяцев подряд ниже границы для выхода из зоны (гистерезис). 3) Срок уведомления КРВК</t>
        </is>
      </c>
      <c r="G37" s="56" t="n"/>
    </row>
    <row r="38" ht="92" customHeight="1">
      <c r="A38" s="39" t="inlineStr">
        <is>
          <t>Красная</t>
        </is>
      </c>
      <c r="B38" s="4" t="inlineStr">
        <is>
          <t>Еженедельно + внеочередной расчёт</t>
        </is>
      </c>
      <c r="C38" s="4" t="inlineStr">
        <is>
          <t>СД через КРВК, незамедлительно</t>
        </is>
      </c>
      <c r="D38" s="4" t="inlineStr">
        <is>
          <t>Те же меры плюс план снижения с датой возврата в жёлтую. Синдикация и уступка части требуют контрагента и в один месяц не укладываются</t>
        </is>
      </c>
      <c r="E38" s="4" t="inlineStr">
        <is>
          <t>Письменный план устранения с ответственным и датой</t>
        </is>
      </c>
      <c r="F38" s="16" t="inlineStr">
        <is>
          <t>1) Уведомляется ли АРРФР и на каком основании — смотреть Правила № 272 о мерах надзорного реагирования. 2) Согласование с триггерами режима восстановления по № 119: красная зона использует их словарь («финансовая устойчивость и платёжеспособность»), и две системы не должны противоречить</t>
        </is>
      </c>
      <c r="G38" s="56" t="n"/>
    </row>
    <row r="39" ht="92" customHeight="1">
      <c r="A39" s="45" t="inlineStr">
        <is>
          <t>Нарушение лимита</t>
        </is>
      </c>
      <c r="B39" s="4" t="inlineStr">
        <is>
          <t>Еженедельно + внеочередной расчёт</t>
        </is>
      </c>
      <c r="C39" s="4" t="inlineStr">
        <is>
          <t>СД, протокол УО</t>
        </is>
      </c>
      <c r="D39" s="4" t="inlineStr">
        <is>
          <t>Устранение нарушения по Политике п. 12-1 и п. 27</t>
        </is>
      </c>
      <c r="E39" s="4" t="inlineStr">
        <is>
          <t>Письменное описание того, как нарушение будет или было устранено</t>
        </is>
      </c>
      <c r="F39" s="16" t="inlineStr">
        <is>
          <t>Конкретных мер и сроков в Политике НЕТ — это записанный пробел ВНД, а не пропуск в книге. Закрывается правкой Политики, не расчётом</t>
        </is>
      </c>
      <c r="G39" s="56" t="n"/>
    </row>
    <row r="41" ht="48" customHeight="1">
      <c r="A41" s="21" t="inlineStr">
        <is>
          <t>Структура режима взята из OCC Heightened Standards II.H (см. BENCHMARK.md): выявление; РАЗЛИЧЕНИЕ нарушений по тяжести последствий; протокол уведомления первой линии, БРМ, внутреннего аудита, СД и регулятора; письменное описание устранения; ответственность с учётом величины, частоты и повторяемости. Из пяти элементов в нашей Политике есть один — факт нарушения. Остальные четыре и есть содержание правки.</t>
        </is>
      </c>
    </row>
    <row r="42" ht="58" customHeight="1">
      <c r="A42" s="21" t="inlineStr">
        <is>
          <t>ЧТО НА ЭТОМ ЛИСТЕ НЕ ДОКАЗАНО. Первое: п. 18 Правил № 86 и Приложение № 2 к Методике дословно не разобраны; определения зон взяты из конспекта SPRAVOCHNIK_RA.md, а не из оригинала. Второе, важнее: при лестничной разметке действующий уровень 95 %% выполняет роль риск-ёмкости, а уровнем риск-аппетита становится граница зелёной зоны — это смена смысла числа 95, и её принимает уполномоченный орган, а не расчёт. Находка Р1 показывает, что на восьми метриках Банк уже так и делает.</t>
        </is>
      </c>
    </row>
    <row r="43" ht="32" customHeight="1">
      <c r="A43" s="2" t="inlineStr">
        <is>
          <t>Ряд и лестница зон. Собрано viz/zone_ladder.py из того же CSV, что и расчёт, — границы на картинке и в таблице совпадают по построению.</t>
        </is>
      </c>
    </row>
    <row r="79" ht="32" customHeight="1">
      <c r="A79" s="2" t="inlineStr">
        <is>
          <t>Находка Р1: у восьми метрик, где зоны уже установлены, порог красной стоит ЗА уровнем риск-аппетита. Это довод за лестницу, и он не наш — так уже сделано в Банке.</t>
        </is>
      </c>
    </row>
  </sheetData>
  <mergeCells count="24">
    <mergeCell ref="A32:G32"/>
    <mergeCell ref="D25:G25"/>
    <mergeCell ref="C15:G15"/>
    <mergeCell ref="D24:G24"/>
    <mergeCell ref="C14:G14"/>
    <mergeCell ref="A43:G43"/>
    <mergeCell ref="D23:G23"/>
    <mergeCell ref="C16:G16"/>
    <mergeCell ref="F36:G36"/>
    <mergeCell ref="F35:G35"/>
    <mergeCell ref="D22:G22"/>
    <mergeCell ref="C12:G12"/>
    <mergeCell ref="F38:G38"/>
    <mergeCell ref="A79:G79"/>
    <mergeCell ref="A41:G41"/>
    <mergeCell ref="C17:G17"/>
    <mergeCell ref="F37:G37"/>
    <mergeCell ref="F39:G39"/>
    <mergeCell ref="A26:G26"/>
    <mergeCell ref="C19:G19"/>
    <mergeCell ref="A2:G2"/>
    <mergeCell ref="C13:G13"/>
    <mergeCell ref="C18:G18"/>
    <mergeCell ref="A42:G42"/>
  </mergeCells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6" customWidth="1" min="1" max="1"/>
    <col width="44" customWidth="1" min="2" max="2"/>
    <col width="13" customWidth="1" min="3" max="3"/>
    <col width="13" customWidth="1" min="4" max="4"/>
    <col width="58" customWidth="1" min="5" max="5"/>
  </cols>
  <sheetData>
    <row r="1">
      <c r="A1" s="1" t="inlineStr">
        <is>
          <t>Две σ в одной таблице методов — и они про разное</t>
        </is>
      </c>
    </row>
    <row r="2" ht="30" customHeight="1">
      <c r="A2" s="2" t="inlineStr">
        <is>
          <t>Остаток находки Р-Д1. Третья σ принадлежала методу B, который из книги убран: он не защищается на комитете. В DISCLOSURE.md Р-Д1 остаётся целиком — там он про чужую опубликованную таблицу, а не про нашу книгу.</t>
        </is>
      </c>
    </row>
    <row r="4">
      <c r="A4" s="13" t="inlineStr">
        <is>
          <t>Методы</t>
        </is>
      </c>
      <c r="B4" s="13" t="inlineStr">
        <is>
          <t>Какая σ</t>
        </is>
      </c>
      <c r="C4" s="13" t="inlineStr">
        <is>
          <t>Значение</t>
        </is>
      </c>
      <c r="D4" s="13" t="inlineStr">
        <is>
          <t>К σ_Δ</t>
        </is>
      </c>
      <c r="E4" s="13" t="inlineStr">
        <is>
          <t>Что из этого следует</t>
        </is>
      </c>
    </row>
    <row r="5" ht="46" customHeight="1">
      <c r="A5" s="59" t="inlineStr">
        <is>
          <t>D, H</t>
        </is>
      </c>
      <c r="B5" s="4" t="inlineStr">
        <is>
          <t>выборочное с.к.о. приростов, все 35</t>
        </is>
      </c>
      <c r="C5" s="24">
        <f>'Расчёт'!D6</f>
        <v/>
      </c>
      <c r="D5" s="60">
        <f>C5/'Расчёт'!D6</f>
        <v/>
      </c>
      <c r="E5" s="16" t="inlineStr">
        <is>
          <t>Базовая. На ней стоят запас M(T), расстояние D и T*</t>
        </is>
      </c>
    </row>
    <row r="6" ht="46" customHeight="1">
      <c r="A6" s="59" t="inlineStr">
        <is>
          <t>М1</t>
        </is>
      </c>
      <c r="B6" s="4" t="inlineStr">
        <is>
          <t>выборочное с.к.о. самих уровней, не приростов</t>
        </is>
      </c>
      <c r="C6" s="24">
        <f>'Расчёт'!D7</f>
        <v/>
      </c>
      <c r="D6" s="60">
        <f>C6/'Расчёт'!D6</f>
        <v/>
      </c>
      <c r="E6" s="16" t="inlineStr">
        <is>
          <t>Мера разброса уровня за три года, а не месячного хода. С первой несопоставима в принципе: одна про то, где ряд стоял, другая про то, как быстро он движется</t>
        </is>
      </c>
    </row>
    <row r="8" ht="44" customHeight="1">
      <c r="A8" s="21" t="inlineStr">
        <is>
          <t>Правило, которое из этого остаётся: σ называется прямо в строке метода. Метод, защищаемый в собственных терминах, несравним с методом, защищаемым в своих, — и разница в 53 % между этими двумя σ тому иллюстрация.</t>
        </is>
      </c>
    </row>
  </sheetData>
  <mergeCells count="2">
    <mergeCell ref="A2:E2"/>
    <mergeCell ref="A8:E8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14" customWidth="1" min="4" max="4"/>
    <col width="14" customWidth="1" min="5" max="5"/>
  </cols>
  <sheetData>
    <row r="1">
      <c r="A1" s="1" t="inlineStr">
        <is>
          <t>Триггеры на движение: ΔСК ≤ −3 % или ΔЗайм ≥ +5 % за месяц</t>
        </is>
      </c>
    </row>
    <row r="2" ht="30" customHeight="1">
      <c r="A2" s="2" t="inlineStr">
        <is>
          <t>Срабатывают независимо от зоны. Все 35 приростов показаны целиком — выборка из шести строк недоказуема: по ней не видно, что остальные 29 условию не отвечают.</t>
        </is>
      </c>
    </row>
    <row r="4">
      <c r="A4" s="13" t="inlineStr">
        <is>
          <t>Дата</t>
        </is>
      </c>
      <c r="B4" s="13" t="inlineStr">
        <is>
          <t>ΔСК, %</t>
        </is>
      </c>
      <c r="C4" s="13" t="inlineStr">
        <is>
          <t>ΔЗайм, %</t>
        </is>
      </c>
      <c r="D4" s="13" t="inlineStr">
        <is>
          <t>Коэффициент</t>
        </is>
      </c>
      <c r="E4" s="13" t="inlineStr">
        <is>
          <t>Что сработало</t>
        </is>
      </c>
    </row>
    <row r="5">
      <c r="A5" s="6">
        <f>'Ряд'!A6</f>
        <v/>
      </c>
      <c r="B5" s="11">
        <f>'Ряд'!K6</f>
        <v/>
      </c>
      <c r="C5" s="11">
        <f>'Ряд'!L6</f>
        <v/>
      </c>
      <c r="D5" s="11">
        <f>'Ряд'!H6</f>
        <v/>
      </c>
      <c r="E5" s="12">
        <f>'Ряд'!M6</f>
        <v/>
      </c>
    </row>
    <row r="6">
      <c r="A6" s="6">
        <f>'Ряд'!A7</f>
        <v/>
      </c>
      <c r="B6" s="11">
        <f>'Ряд'!K7</f>
        <v/>
      </c>
      <c r="C6" s="11">
        <f>'Ряд'!L7</f>
        <v/>
      </c>
      <c r="D6" s="11">
        <f>'Ряд'!H7</f>
        <v/>
      </c>
      <c r="E6" s="12">
        <f>'Ряд'!M7</f>
        <v/>
      </c>
    </row>
    <row r="7">
      <c r="A7" s="6">
        <f>'Ряд'!A8</f>
        <v/>
      </c>
      <c r="B7" s="11">
        <f>'Ряд'!K8</f>
        <v/>
      </c>
      <c r="C7" s="11">
        <f>'Ряд'!L8</f>
        <v/>
      </c>
      <c r="D7" s="11">
        <f>'Ряд'!H8</f>
        <v/>
      </c>
      <c r="E7" s="12">
        <f>'Ряд'!M8</f>
        <v/>
      </c>
    </row>
    <row r="8">
      <c r="A8" s="6">
        <f>'Ряд'!A9</f>
        <v/>
      </c>
      <c r="B8" s="11">
        <f>'Ряд'!K9</f>
        <v/>
      </c>
      <c r="C8" s="11">
        <f>'Ряд'!L9</f>
        <v/>
      </c>
      <c r="D8" s="11">
        <f>'Ряд'!H9</f>
        <v/>
      </c>
      <c r="E8" s="12">
        <f>'Ряд'!M9</f>
        <v/>
      </c>
    </row>
    <row r="9">
      <c r="A9" s="6">
        <f>'Ряд'!A10</f>
        <v/>
      </c>
      <c r="B9" s="11">
        <f>'Ряд'!K10</f>
        <v/>
      </c>
      <c r="C9" s="11">
        <f>'Ряд'!L10</f>
        <v/>
      </c>
      <c r="D9" s="11">
        <f>'Ряд'!H10</f>
        <v/>
      </c>
      <c r="E9" s="12">
        <f>'Ряд'!M10</f>
        <v/>
      </c>
    </row>
    <row r="10">
      <c r="A10" s="6">
        <f>'Ряд'!A11</f>
        <v/>
      </c>
      <c r="B10" s="11">
        <f>'Ряд'!K11</f>
        <v/>
      </c>
      <c r="C10" s="11">
        <f>'Ряд'!L11</f>
        <v/>
      </c>
      <c r="D10" s="11">
        <f>'Ряд'!H11</f>
        <v/>
      </c>
      <c r="E10" s="12">
        <f>'Ряд'!M11</f>
        <v/>
      </c>
    </row>
    <row r="11">
      <c r="A11" s="6">
        <f>'Ряд'!A12</f>
        <v/>
      </c>
      <c r="B11" s="11">
        <f>'Ряд'!K12</f>
        <v/>
      </c>
      <c r="C11" s="11">
        <f>'Ряд'!L12</f>
        <v/>
      </c>
      <c r="D11" s="11">
        <f>'Ряд'!H12</f>
        <v/>
      </c>
      <c r="E11" s="12">
        <f>'Ряд'!M12</f>
        <v/>
      </c>
    </row>
    <row r="12">
      <c r="A12" s="6">
        <f>'Ряд'!A13</f>
        <v/>
      </c>
      <c r="B12" s="11">
        <f>'Ряд'!K13</f>
        <v/>
      </c>
      <c r="C12" s="11">
        <f>'Ряд'!L13</f>
        <v/>
      </c>
      <c r="D12" s="11">
        <f>'Ряд'!H13</f>
        <v/>
      </c>
      <c r="E12" s="12">
        <f>'Ряд'!M13</f>
        <v/>
      </c>
    </row>
    <row r="13">
      <c r="A13" s="6">
        <f>'Ряд'!A14</f>
        <v/>
      </c>
      <c r="B13" s="11">
        <f>'Ряд'!K14</f>
        <v/>
      </c>
      <c r="C13" s="11">
        <f>'Ряд'!L14</f>
        <v/>
      </c>
      <c r="D13" s="11">
        <f>'Ряд'!H14</f>
        <v/>
      </c>
      <c r="E13" s="12">
        <f>'Ряд'!M14</f>
        <v/>
      </c>
    </row>
    <row r="14">
      <c r="A14" s="6">
        <f>'Ряд'!A15</f>
        <v/>
      </c>
      <c r="B14" s="11">
        <f>'Ряд'!K15</f>
        <v/>
      </c>
      <c r="C14" s="11">
        <f>'Ряд'!L15</f>
        <v/>
      </c>
      <c r="D14" s="11">
        <f>'Ряд'!H15</f>
        <v/>
      </c>
      <c r="E14" s="12">
        <f>'Ряд'!M15</f>
        <v/>
      </c>
    </row>
    <row r="15">
      <c r="A15" s="6">
        <f>'Ряд'!A16</f>
        <v/>
      </c>
      <c r="B15" s="11">
        <f>'Ряд'!K16</f>
        <v/>
      </c>
      <c r="C15" s="11">
        <f>'Ряд'!L16</f>
        <v/>
      </c>
      <c r="D15" s="11">
        <f>'Ряд'!H16</f>
        <v/>
      </c>
      <c r="E15" s="12">
        <f>'Ряд'!M16</f>
        <v/>
      </c>
    </row>
    <row r="16">
      <c r="A16" s="6">
        <f>'Ряд'!A17</f>
        <v/>
      </c>
      <c r="B16" s="11">
        <f>'Ряд'!K17</f>
        <v/>
      </c>
      <c r="C16" s="11">
        <f>'Ряд'!L17</f>
        <v/>
      </c>
      <c r="D16" s="11">
        <f>'Ряд'!H17</f>
        <v/>
      </c>
      <c r="E16" s="12">
        <f>'Ряд'!M17</f>
        <v/>
      </c>
    </row>
    <row r="17">
      <c r="A17" s="6">
        <f>'Ряд'!A18</f>
        <v/>
      </c>
      <c r="B17" s="11">
        <f>'Ряд'!K18</f>
        <v/>
      </c>
      <c r="C17" s="11">
        <f>'Ряд'!L18</f>
        <v/>
      </c>
      <c r="D17" s="11">
        <f>'Ряд'!H18</f>
        <v/>
      </c>
      <c r="E17" s="12">
        <f>'Ряд'!M18</f>
        <v/>
      </c>
    </row>
    <row r="18">
      <c r="A18" s="6">
        <f>'Ряд'!A19</f>
        <v/>
      </c>
      <c r="B18" s="11">
        <f>'Ряд'!K19</f>
        <v/>
      </c>
      <c r="C18" s="11">
        <f>'Ряд'!L19</f>
        <v/>
      </c>
      <c r="D18" s="11">
        <f>'Ряд'!H19</f>
        <v/>
      </c>
      <c r="E18" s="12">
        <f>'Ряд'!M19</f>
        <v/>
      </c>
    </row>
    <row r="19">
      <c r="A19" s="6">
        <f>'Ряд'!A20</f>
        <v/>
      </c>
      <c r="B19" s="11">
        <f>'Ряд'!K20</f>
        <v/>
      </c>
      <c r="C19" s="11">
        <f>'Ряд'!L20</f>
        <v/>
      </c>
      <c r="D19" s="11">
        <f>'Ряд'!H20</f>
        <v/>
      </c>
      <c r="E19" s="12">
        <f>'Ряд'!M20</f>
        <v/>
      </c>
    </row>
    <row r="20">
      <c r="A20" s="6">
        <f>'Ряд'!A21</f>
        <v/>
      </c>
      <c r="B20" s="11">
        <f>'Ряд'!K21</f>
        <v/>
      </c>
      <c r="C20" s="11">
        <f>'Ряд'!L21</f>
        <v/>
      </c>
      <c r="D20" s="11">
        <f>'Ряд'!H21</f>
        <v/>
      </c>
      <c r="E20" s="12">
        <f>'Ряд'!M21</f>
        <v/>
      </c>
    </row>
    <row r="21">
      <c r="A21" s="6">
        <f>'Ряд'!A22</f>
        <v/>
      </c>
      <c r="B21" s="11">
        <f>'Ряд'!K22</f>
        <v/>
      </c>
      <c r="C21" s="11">
        <f>'Ряд'!L22</f>
        <v/>
      </c>
      <c r="D21" s="11">
        <f>'Ряд'!H22</f>
        <v/>
      </c>
      <c r="E21" s="12">
        <f>'Ряд'!M22</f>
        <v/>
      </c>
    </row>
    <row r="22">
      <c r="A22" s="6">
        <f>'Ряд'!A23</f>
        <v/>
      </c>
      <c r="B22" s="11">
        <f>'Ряд'!K23</f>
        <v/>
      </c>
      <c r="C22" s="11">
        <f>'Ряд'!L23</f>
        <v/>
      </c>
      <c r="D22" s="11">
        <f>'Ряд'!H23</f>
        <v/>
      </c>
      <c r="E22" s="12">
        <f>'Ряд'!M23</f>
        <v/>
      </c>
    </row>
    <row r="23">
      <c r="A23" s="6">
        <f>'Ряд'!A24</f>
        <v/>
      </c>
      <c r="B23" s="11">
        <f>'Ряд'!K24</f>
        <v/>
      </c>
      <c r="C23" s="11">
        <f>'Ряд'!L24</f>
        <v/>
      </c>
      <c r="D23" s="11">
        <f>'Ряд'!H24</f>
        <v/>
      </c>
      <c r="E23" s="12">
        <f>'Ряд'!M24</f>
        <v/>
      </c>
    </row>
    <row r="24">
      <c r="A24" s="6">
        <f>'Ряд'!A25</f>
        <v/>
      </c>
      <c r="B24" s="11">
        <f>'Ряд'!K25</f>
        <v/>
      </c>
      <c r="C24" s="11">
        <f>'Ряд'!L25</f>
        <v/>
      </c>
      <c r="D24" s="11">
        <f>'Ряд'!H25</f>
        <v/>
      </c>
      <c r="E24" s="12">
        <f>'Ряд'!M25</f>
        <v/>
      </c>
    </row>
    <row r="25">
      <c r="A25" s="6">
        <f>'Ряд'!A26</f>
        <v/>
      </c>
      <c r="B25" s="11">
        <f>'Ряд'!K26</f>
        <v/>
      </c>
      <c r="C25" s="11">
        <f>'Ряд'!L26</f>
        <v/>
      </c>
      <c r="D25" s="11">
        <f>'Ряд'!H26</f>
        <v/>
      </c>
      <c r="E25" s="12">
        <f>'Ряд'!M26</f>
        <v/>
      </c>
    </row>
    <row r="26">
      <c r="A26" s="6">
        <f>'Ряд'!A27</f>
        <v/>
      </c>
      <c r="B26" s="11">
        <f>'Ряд'!K27</f>
        <v/>
      </c>
      <c r="C26" s="11">
        <f>'Ряд'!L27</f>
        <v/>
      </c>
      <c r="D26" s="11">
        <f>'Ряд'!H27</f>
        <v/>
      </c>
      <c r="E26" s="12">
        <f>'Ряд'!M27</f>
        <v/>
      </c>
    </row>
    <row r="27">
      <c r="A27" s="6">
        <f>'Ряд'!A28</f>
        <v/>
      </c>
      <c r="B27" s="11">
        <f>'Ряд'!K28</f>
        <v/>
      </c>
      <c r="C27" s="11">
        <f>'Ряд'!L28</f>
        <v/>
      </c>
      <c r="D27" s="11">
        <f>'Ряд'!H28</f>
        <v/>
      </c>
      <c r="E27" s="12">
        <f>'Ряд'!M28</f>
        <v/>
      </c>
    </row>
    <row r="28">
      <c r="A28" s="6">
        <f>'Ряд'!A29</f>
        <v/>
      </c>
      <c r="B28" s="11">
        <f>'Ряд'!K29</f>
        <v/>
      </c>
      <c r="C28" s="11">
        <f>'Ряд'!L29</f>
        <v/>
      </c>
      <c r="D28" s="11">
        <f>'Ряд'!H29</f>
        <v/>
      </c>
      <c r="E28" s="12">
        <f>'Ряд'!M29</f>
        <v/>
      </c>
    </row>
    <row r="29">
      <c r="A29" s="6">
        <f>'Ряд'!A30</f>
        <v/>
      </c>
      <c r="B29" s="11">
        <f>'Ряд'!K30</f>
        <v/>
      </c>
      <c r="C29" s="11">
        <f>'Ряд'!L30</f>
        <v/>
      </c>
      <c r="D29" s="11">
        <f>'Ряд'!H30</f>
        <v/>
      </c>
      <c r="E29" s="12">
        <f>'Ряд'!M30</f>
        <v/>
      </c>
    </row>
    <row r="30">
      <c r="A30" s="6">
        <f>'Ряд'!A31</f>
        <v/>
      </c>
      <c r="B30" s="11">
        <f>'Ряд'!K31</f>
        <v/>
      </c>
      <c r="C30" s="11">
        <f>'Ряд'!L31</f>
        <v/>
      </c>
      <c r="D30" s="11">
        <f>'Ряд'!H31</f>
        <v/>
      </c>
      <c r="E30" s="12">
        <f>'Ряд'!M31</f>
        <v/>
      </c>
    </row>
    <row r="31">
      <c r="A31" s="6">
        <f>'Ряд'!A32</f>
        <v/>
      </c>
      <c r="B31" s="11">
        <f>'Ряд'!K32</f>
        <v/>
      </c>
      <c r="C31" s="11">
        <f>'Ряд'!L32</f>
        <v/>
      </c>
      <c r="D31" s="11">
        <f>'Ряд'!H32</f>
        <v/>
      </c>
      <c r="E31" s="12">
        <f>'Ряд'!M32</f>
        <v/>
      </c>
    </row>
    <row r="32">
      <c r="A32" s="6">
        <f>'Ряд'!A33</f>
        <v/>
      </c>
      <c r="B32" s="11">
        <f>'Ряд'!K33</f>
        <v/>
      </c>
      <c r="C32" s="11">
        <f>'Ряд'!L33</f>
        <v/>
      </c>
      <c r="D32" s="11">
        <f>'Ряд'!H33</f>
        <v/>
      </c>
      <c r="E32" s="12">
        <f>'Ряд'!M33</f>
        <v/>
      </c>
    </row>
    <row r="33">
      <c r="A33" s="6">
        <f>'Ряд'!A34</f>
        <v/>
      </c>
      <c r="B33" s="11">
        <f>'Ряд'!K34</f>
        <v/>
      </c>
      <c r="C33" s="11">
        <f>'Ряд'!L34</f>
        <v/>
      </c>
      <c r="D33" s="11">
        <f>'Ряд'!H34</f>
        <v/>
      </c>
      <c r="E33" s="12">
        <f>'Ряд'!M34</f>
        <v/>
      </c>
    </row>
    <row r="34">
      <c r="A34" s="6">
        <f>'Ряд'!A35</f>
        <v/>
      </c>
      <c r="B34" s="11">
        <f>'Ряд'!K35</f>
        <v/>
      </c>
      <c r="C34" s="11">
        <f>'Ряд'!L35</f>
        <v/>
      </c>
      <c r="D34" s="11">
        <f>'Ряд'!H35</f>
        <v/>
      </c>
      <c r="E34" s="12">
        <f>'Ряд'!M35</f>
        <v/>
      </c>
    </row>
    <row r="35">
      <c r="A35" s="6">
        <f>'Ряд'!A36</f>
        <v/>
      </c>
      <c r="B35" s="11">
        <f>'Ряд'!K36</f>
        <v/>
      </c>
      <c r="C35" s="11">
        <f>'Ряд'!L36</f>
        <v/>
      </c>
      <c r="D35" s="11">
        <f>'Ряд'!H36</f>
        <v/>
      </c>
      <c r="E35" s="12">
        <f>'Ряд'!M36</f>
        <v/>
      </c>
    </row>
    <row r="36">
      <c r="A36" s="6">
        <f>'Ряд'!A37</f>
        <v/>
      </c>
      <c r="B36" s="11">
        <f>'Ряд'!K37</f>
        <v/>
      </c>
      <c r="C36" s="11">
        <f>'Ряд'!L37</f>
        <v/>
      </c>
      <c r="D36" s="11">
        <f>'Ряд'!H37</f>
        <v/>
      </c>
      <c r="E36" s="12">
        <f>'Ряд'!M37</f>
        <v/>
      </c>
    </row>
    <row r="37">
      <c r="A37" s="6">
        <f>'Ряд'!A38</f>
        <v/>
      </c>
      <c r="B37" s="11">
        <f>'Ряд'!K38</f>
        <v/>
      </c>
      <c r="C37" s="11">
        <f>'Ряд'!L38</f>
        <v/>
      </c>
      <c r="D37" s="11">
        <f>'Ряд'!H38</f>
        <v/>
      </c>
      <c r="E37" s="12">
        <f>'Ряд'!M38</f>
        <v/>
      </c>
    </row>
    <row r="38">
      <c r="A38" s="6">
        <f>'Ряд'!A39</f>
        <v/>
      </c>
      <c r="B38" s="11">
        <f>'Ряд'!K39</f>
        <v/>
      </c>
      <c r="C38" s="11">
        <f>'Ряд'!L39</f>
        <v/>
      </c>
      <c r="D38" s="11">
        <f>'Ряд'!H39</f>
        <v/>
      </c>
      <c r="E38" s="12">
        <f>'Ряд'!M39</f>
        <v/>
      </c>
    </row>
    <row r="39">
      <c r="A39" s="6">
        <f>'Ряд'!A40</f>
        <v/>
      </c>
      <c r="B39" s="11">
        <f>'Ряд'!K40</f>
        <v/>
      </c>
      <c r="C39" s="11">
        <f>'Ряд'!L40</f>
        <v/>
      </c>
      <c r="D39" s="11">
        <f>'Ряд'!H40</f>
        <v/>
      </c>
      <c r="E39" s="12">
        <f>'Ряд'!M40</f>
        <v/>
      </c>
    </row>
    <row r="41">
      <c r="A41" s="51" t="inlineStr">
        <is>
          <t>Сработало</t>
        </is>
      </c>
      <c r="B41" s="53">
        <f>COUNTIF(E5:E39,"Займ")+COUNTIF(E5:E39,"СК")+COUNTIF(E5:E39,"оба")</f>
        <v/>
      </c>
      <c r="C41" s="61">
        <f>B41/35*100</f>
        <v/>
      </c>
      <c r="D41" s="62" t="inlineStr">
        <is>
          <t>из 35 приростов, %</t>
        </is>
      </c>
      <c r="E41" s="52" t="n"/>
    </row>
    <row r="43" ht="58" customHeight="1">
      <c r="A43" s="21" t="inlineStr">
        <is>
          <t>Строка 01.2026 — та, ради которой триггеры и заводятся: вход сделан капиталом (ΔСК = −7,92 %), а не портфелем, и уровневая зона его не предупреждала в принципе. Зона смотрит на значение коэффициента, триггер — на его движение. Формула M(T) описывает диффузию, триггер ловит скачок; ни один из двух инструментов не заменяет другой.</t>
        </is>
      </c>
    </row>
  </sheetData>
  <mergeCells count="2">
    <mergeCell ref="A2:E2"/>
    <mergeCell ref="A43:E43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W1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2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  <col width="8" customWidth="1" min="54" max="54"/>
    <col width="8" customWidth="1" min="55" max="55"/>
    <col width="8" customWidth="1" min="56" max="56"/>
    <col width="8" customWidth="1" min="57" max="57"/>
    <col width="8" customWidth="1" min="58" max="58"/>
    <col width="8" customWidth="1" min="59" max="59"/>
    <col width="8" customWidth="1" min="60" max="60"/>
    <col width="8" customWidth="1" min="61" max="61"/>
    <col width="8" customWidth="1" min="62" max="62"/>
    <col width="8" customWidth="1" min="63" max="63"/>
    <col width="8" customWidth="1" min="64" max="64"/>
    <col width="8" customWidth="1" min="65" max="65"/>
    <col width="8" customWidth="1" min="66" max="66"/>
    <col width="8" customWidth="1" min="67" max="67"/>
    <col width="8" customWidth="1" min="68" max="68"/>
    <col width="8" customWidth="1" min="69" max="69"/>
    <col width="8" customWidth="1" min="70" max="70"/>
    <col width="8" customWidth="1" min="71" max="71"/>
    <col width="8" customWidth="1" min="72" max="72"/>
    <col width="8" customWidth="1" min="73" max="73"/>
    <col width="8" customWidth="1" min="74" max="74"/>
    <col width="8" customWidth="1" min="75" max="75"/>
  </cols>
  <sheetData>
    <row r="1">
      <c r="A1" s="1" t="inlineStr">
        <is>
          <t>Месячный ряд розничных метрик: 36 точек, 01.08.2023 — 01.07.2026</t>
        </is>
      </c>
    </row>
    <row r="2" ht="46" customHeight="1">
      <c r="A2" s="2" t="inlineStr">
        <is>
          <t>Источник: лист Monthly книги Приложения № 3 к Политике, получен 04.09.2026. Значения в процентах — в исходном листе они долями. Сверено с квартальной формой № 50 на 01.07.2026: максимальное расхождение 0,0009 пп. ОГОВОРКА (DECOMPOSITION § 10.2): из 36 месяцев с отчётностью сверены 20, первые 16 — реконструкция, величин уполномоченный орган не видел.</t>
        </is>
      </c>
    </row>
    <row r="4" ht="30" customHeight="1">
      <c r="A4" s="13" t="inlineStr">
        <is>
          <t>Метрика</t>
        </is>
      </c>
      <c r="B4" s="13" t="inlineStr">
        <is>
          <t>Сегмент</t>
        </is>
      </c>
      <c r="C4" s="13" t="inlineStr">
        <is>
          <t>Лимит L</t>
        </is>
      </c>
      <c r="D4" s="5" t="inlineStr">
        <is>
          <t>2023-08</t>
        </is>
      </c>
      <c r="E4" s="5" t="inlineStr">
        <is>
          <t>2023-09</t>
        </is>
      </c>
      <c r="F4" s="5" t="inlineStr">
        <is>
          <t>2023-10</t>
        </is>
      </c>
      <c r="G4" s="5" t="inlineStr">
        <is>
          <t>2023-11</t>
        </is>
      </c>
      <c r="H4" s="5" t="inlineStr">
        <is>
          <t>2023-12</t>
        </is>
      </c>
      <c r="I4" s="5" t="inlineStr">
        <is>
          <t>2024-01</t>
        </is>
      </c>
      <c r="J4" s="5" t="inlineStr">
        <is>
          <t>2024-02</t>
        </is>
      </c>
      <c r="K4" s="5" t="inlineStr">
        <is>
          <t>2024-03</t>
        </is>
      </c>
      <c r="L4" s="5" t="inlineStr">
        <is>
          <t>2024-04</t>
        </is>
      </c>
      <c r="M4" s="5" t="inlineStr">
        <is>
          <t>2024-05</t>
        </is>
      </c>
      <c r="N4" s="5" t="inlineStr">
        <is>
          <t>2024-06</t>
        </is>
      </c>
      <c r="O4" s="5" t="inlineStr">
        <is>
          <t>2024-07</t>
        </is>
      </c>
      <c r="P4" s="5" t="inlineStr">
        <is>
          <t>2024-08</t>
        </is>
      </c>
      <c r="Q4" s="5" t="inlineStr">
        <is>
          <t>2024-09</t>
        </is>
      </c>
      <c r="R4" s="5" t="inlineStr">
        <is>
          <t>2024-10</t>
        </is>
      </c>
      <c r="S4" s="5" t="inlineStr">
        <is>
          <t>2024-11</t>
        </is>
      </c>
      <c r="T4" s="5" t="inlineStr">
        <is>
          <t>2024-12</t>
        </is>
      </c>
      <c r="U4" s="5" t="inlineStr">
        <is>
          <t>2025-01</t>
        </is>
      </c>
      <c r="V4" s="5" t="inlineStr">
        <is>
          <t>2025-02</t>
        </is>
      </c>
      <c r="W4" s="5" t="inlineStr">
        <is>
          <t>2025-03</t>
        </is>
      </c>
      <c r="X4" s="5" t="inlineStr">
        <is>
          <t>2025-04</t>
        </is>
      </c>
      <c r="Y4" s="5" t="inlineStr">
        <is>
          <t>2025-05</t>
        </is>
      </c>
      <c r="Z4" s="5" t="inlineStr">
        <is>
          <t>2025-06</t>
        </is>
      </c>
      <c r="AA4" s="5" t="inlineStr">
        <is>
          <t>2025-07</t>
        </is>
      </c>
      <c r="AB4" s="5" t="inlineStr">
        <is>
          <t>2025-08</t>
        </is>
      </c>
      <c r="AC4" s="5" t="inlineStr">
        <is>
          <t>2025-09</t>
        </is>
      </c>
      <c r="AD4" s="5" t="inlineStr">
        <is>
          <t>2025-10</t>
        </is>
      </c>
      <c r="AE4" s="5" t="inlineStr">
        <is>
          <t>2025-11</t>
        </is>
      </c>
      <c r="AF4" s="5" t="inlineStr">
        <is>
          <t>2025-12</t>
        </is>
      </c>
      <c r="AG4" s="5" t="inlineStr">
        <is>
          <t>2026-01</t>
        </is>
      </c>
      <c r="AH4" s="5" t="inlineStr">
        <is>
          <t>2026-02</t>
        </is>
      </c>
      <c r="AI4" s="5" t="inlineStr">
        <is>
          <t>2026-03</t>
        </is>
      </c>
      <c r="AJ4" s="5" t="inlineStr">
        <is>
          <t>2026-04</t>
        </is>
      </c>
      <c r="AK4" s="5" t="inlineStr">
        <is>
          <t>2026-05</t>
        </is>
      </c>
      <c r="AL4" s="5" t="inlineStr">
        <is>
          <t>2026-06</t>
        </is>
      </c>
      <c r="AM4" s="5" t="inlineStr">
        <is>
          <t>2026-07</t>
        </is>
      </c>
      <c r="AN4" s="63" t="inlineStr">
        <is>
          <t xml:space="preserve"> </t>
        </is>
      </c>
      <c r="AO4" s="13" t="inlineStr">
        <is>
          <t>Δ1</t>
        </is>
      </c>
      <c r="AP4" s="13" t="inlineStr">
        <is>
          <t>Δ2</t>
        </is>
      </c>
      <c r="AQ4" s="13" t="inlineStr">
        <is>
          <t>Δ3</t>
        </is>
      </c>
      <c r="AR4" s="13" t="inlineStr">
        <is>
          <t>Δ4</t>
        </is>
      </c>
      <c r="AS4" s="13" t="inlineStr">
        <is>
          <t>Δ5</t>
        </is>
      </c>
      <c r="AT4" s="13" t="inlineStr">
        <is>
          <t>Δ6</t>
        </is>
      </c>
      <c r="AU4" s="13" t="inlineStr">
        <is>
          <t>Δ7</t>
        </is>
      </c>
      <c r="AV4" s="13" t="inlineStr">
        <is>
          <t>Δ8</t>
        </is>
      </c>
      <c r="AW4" s="13" t="inlineStr">
        <is>
          <t>Δ9</t>
        </is>
      </c>
      <c r="AX4" s="13" t="inlineStr">
        <is>
          <t>Δ10</t>
        </is>
      </c>
      <c r="AY4" s="13" t="inlineStr">
        <is>
          <t>Δ11</t>
        </is>
      </c>
      <c r="AZ4" s="13" t="inlineStr">
        <is>
          <t>Δ12</t>
        </is>
      </c>
      <c r="BA4" s="13" t="inlineStr">
        <is>
          <t>Δ13</t>
        </is>
      </c>
      <c r="BB4" s="13" t="inlineStr">
        <is>
          <t>Δ14</t>
        </is>
      </c>
      <c r="BC4" s="13" t="inlineStr">
        <is>
          <t>Δ15</t>
        </is>
      </c>
      <c r="BD4" s="13" t="inlineStr">
        <is>
          <t>Δ16</t>
        </is>
      </c>
      <c r="BE4" s="13" t="inlineStr">
        <is>
          <t>Δ17</t>
        </is>
      </c>
      <c r="BF4" s="13" t="inlineStr">
        <is>
          <t>Δ18</t>
        </is>
      </c>
      <c r="BG4" s="13" t="inlineStr">
        <is>
          <t>Δ19</t>
        </is>
      </c>
      <c r="BH4" s="13" t="inlineStr">
        <is>
          <t>Δ20</t>
        </is>
      </c>
      <c r="BI4" s="13" t="inlineStr">
        <is>
          <t>Δ21</t>
        </is>
      </c>
      <c r="BJ4" s="13" t="inlineStr">
        <is>
          <t>Δ22</t>
        </is>
      </c>
      <c r="BK4" s="13" t="inlineStr">
        <is>
          <t>Δ23</t>
        </is>
      </c>
      <c r="BL4" s="13" t="inlineStr">
        <is>
          <t>Δ24</t>
        </is>
      </c>
      <c r="BM4" s="13" t="inlineStr">
        <is>
          <t>Δ25</t>
        </is>
      </c>
      <c r="BN4" s="13" t="inlineStr">
        <is>
          <t>Δ26</t>
        </is>
      </c>
      <c r="BO4" s="13" t="inlineStr">
        <is>
          <t>Δ27</t>
        </is>
      </c>
      <c r="BP4" s="13" t="inlineStr">
        <is>
          <t>Δ28</t>
        </is>
      </c>
      <c r="BQ4" s="13" t="inlineStr">
        <is>
          <t>Δ29</t>
        </is>
      </c>
      <c r="BR4" s="13" t="inlineStr">
        <is>
          <t>Δ30</t>
        </is>
      </c>
      <c r="BS4" s="13" t="inlineStr">
        <is>
          <t>Δ31</t>
        </is>
      </c>
      <c r="BT4" s="13" t="inlineStr">
        <is>
          <t>Δ32</t>
        </is>
      </c>
      <c r="BU4" s="13" t="inlineStr">
        <is>
          <t>Δ33</t>
        </is>
      </c>
      <c r="BV4" s="13" t="inlineStr">
        <is>
          <t>Δ34</t>
        </is>
      </c>
      <c r="BW4" s="13" t="inlineStr">
        <is>
          <t>Δ35</t>
        </is>
      </c>
    </row>
    <row r="5">
      <c r="A5" s="4" t="inlineStr">
        <is>
          <t>EL — ожидаемые потери, всего</t>
        </is>
      </c>
      <c r="B5" s="12" t="inlineStr">
        <is>
          <t>RB</t>
        </is>
      </c>
      <c r="C5" s="11" t="n">
        <v>9</v>
      </c>
      <c r="D5" s="9" t="n">
        <v>4.01893</v>
      </c>
      <c r="E5" s="9" t="n">
        <v>4.006073</v>
      </c>
      <c r="F5" s="9" t="n">
        <v>3.918858</v>
      </c>
      <c r="G5" s="9" t="n">
        <v>3.916775</v>
      </c>
      <c r="H5" s="9" t="n">
        <v>3.902911</v>
      </c>
      <c r="I5" s="9" t="n">
        <v>3.860625</v>
      </c>
      <c r="J5" s="9" t="n">
        <v>3.783252</v>
      </c>
      <c r="K5" s="9" t="n">
        <v>3.753594</v>
      </c>
      <c r="L5" s="9" t="n">
        <v>3.705587</v>
      </c>
      <c r="M5" s="9" t="n">
        <v>3.746765</v>
      </c>
      <c r="N5" s="9" t="n">
        <v>3.861943</v>
      </c>
      <c r="O5" s="9" t="n">
        <v>3.763018</v>
      </c>
      <c r="P5" s="9" t="n">
        <v>3.619708</v>
      </c>
      <c r="Q5" s="9" t="n">
        <v>3.587173</v>
      </c>
      <c r="R5" s="9" t="n">
        <v>3.411962</v>
      </c>
      <c r="S5" s="9" t="n">
        <v>3.067174</v>
      </c>
      <c r="T5" s="9" t="n">
        <v>3.066544</v>
      </c>
      <c r="U5" s="9" t="n">
        <v>3.032757</v>
      </c>
      <c r="V5" s="9" t="n">
        <v>2.944715</v>
      </c>
      <c r="W5" s="9" t="n">
        <v>2.92572</v>
      </c>
      <c r="X5" s="9" t="n">
        <v>2.918222</v>
      </c>
      <c r="Y5" s="9" t="n">
        <v>2.896367</v>
      </c>
      <c r="Z5" s="9" t="n">
        <v>2.896783</v>
      </c>
      <c r="AA5" s="9" t="n">
        <v>2.784058</v>
      </c>
      <c r="AB5" s="9" t="n">
        <v>2.763943</v>
      </c>
      <c r="AC5" s="9" t="n">
        <v>2.682605</v>
      </c>
      <c r="AD5" s="9" t="n">
        <v>2.634274</v>
      </c>
      <c r="AE5" s="9" t="n">
        <v>2.58102</v>
      </c>
      <c r="AF5" s="9" t="n">
        <v>2.536831</v>
      </c>
      <c r="AG5" s="9" t="n">
        <v>2.615049</v>
      </c>
      <c r="AH5" s="9" t="n">
        <v>2.616212</v>
      </c>
      <c r="AI5" s="9" t="n">
        <v>2.671571</v>
      </c>
      <c r="AJ5" s="9" t="n">
        <v>2.713037</v>
      </c>
      <c r="AK5" s="9" t="n">
        <v>2.711398</v>
      </c>
      <c r="AL5" s="9" t="n">
        <v>2.718967</v>
      </c>
      <c r="AM5" s="9" t="n">
        <v>2.757284</v>
      </c>
      <c r="AO5" s="9">
        <f>E5-D5</f>
        <v/>
      </c>
      <c r="AP5" s="9">
        <f>F5-E5</f>
        <v/>
      </c>
      <c r="AQ5" s="9">
        <f>G5-F5</f>
        <v/>
      </c>
      <c r="AR5" s="9">
        <f>H5-G5</f>
        <v/>
      </c>
      <c r="AS5" s="9">
        <f>I5-H5</f>
        <v/>
      </c>
      <c r="AT5" s="9">
        <f>J5-I5</f>
        <v/>
      </c>
      <c r="AU5" s="9">
        <f>K5-J5</f>
        <v/>
      </c>
      <c r="AV5" s="9">
        <f>L5-K5</f>
        <v/>
      </c>
      <c r="AW5" s="9">
        <f>M5-L5</f>
        <v/>
      </c>
      <c r="AX5" s="9">
        <f>N5-M5</f>
        <v/>
      </c>
      <c r="AY5" s="9">
        <f>O5-N5</f>
        <v/>
      </c>
      <c r="AZ5" s="9">
        <f>P5-O5</f>
        <v/>
      </c>
      <c r="BA5" s="9">
        <f>Q5-P5</f>
        <v/>
      </c>
      <c r="BB5" s="9">
        <f>R5-Q5</f>
        <v/>
      </c>
      <c r="BC5" s="9">
        <f>S5-R5</f>
        <v/>
      </c>
      <c r="BD5" s="9">
        <f>T5-S5</f>
        <v/>
      </c>
      <c r="BE5" s="9">
        <f>U5-T5</f>
        <v/>
      </c>
      <c r="BF5" s="9">
        <f>V5-U5</f>
        <v/>
      </c>
      <c r="BG5" s="9">
        <f>W5-V5</f>
        <v/>
      </c>
      <c r="BH5" s="9">
        <f>X5-W5</f>
        <v/>
      </c>
      <c r="BI5" s="9">
        <f>Y5-X5</f>
        <v/>
      </c>
      <c r="BJ5" s="9">
        <f>Z5-Y5</f>
        <v/>
      </c>
      <c r="BK5" s="9">
        <f>AA5-Z5</f>
        <v/>
      </c>
      <c r="BL5" s="9">
        <f>AB5-AA5</f>
        <v/>
      </c>
      <c r="BM5" s="9">
        <f>AC5-AB5</f>
        <v/>
      </c>
      <c r="BN5" s="9">
        <f>AD5-AC5</f>
        <v/>
      </c>
      <c r="BO5" s="9">
        <f>AE5-AD5</f>
        <v/>
      </c>
      <c r="BP5" s="9">
        <f>AF5-AE5</f>
        <v/>
      </c>
      <c r="BQ5" s="9">
        <f>AG5-AF5</f>
        <v/>
      </c>
      <c r="BR5" s="9">
        <f>AH5-AG5</f>
        <v/>
      </c>
      <c r="BS5" s="9">
        <f>AI5-AH5</f>
        <v/>
      </c>
      <c r="BT5" s="9">
        <f>AJ5-AI5</f>
        <v/>
      </c>
      <c r="BU5" s="9">
        <f>AK5-AJ5</f>
        <v/>
      </c>
      <c r="BV5" s="9">
        <f>AL5-AK5</f>
        <v/>
      </c>
      <c r="BW5" s="9">
        <f>AM5-AL5</f>
        <v/>
      </c>
    </row>
    <row r="6">
      <c r="A6" s="4" t="inlineStr">
        <is>
          <t>EL — необеспеченные</t>
        </is>
      </c>
      <c r="B6" s="12" t="inlineStr">
        <is>
          <t>RB</t>
        </is>
      </c>
      <c r="C6" s="11" t="n">
        <v>10</v>
      </c>
      <c r="D6" s="9" t="n">
        <v>7.423354</v>
      </c>
      <c r="E6" s="9" t="n">
        <v>7.500904</v>
      </c>
      <c r="F6" s="9" t="n">
        <v>7.404206</v>
      </c>
      <c r="G6" s="9" t="n">
        <v>7.442255</v>
      </c>
      <c r="H6" s="9" t="n">
        <v>7.630703</v>
      </c>
      <c r="I6" s="9" t="n">
        <v>7.607814</v>
      </c>
      <c r="J6" s="9" t="n">
        <v>7.565199</v>
      </c>
      <c r="K6" s="9" t="n">
        <v>7.556539</v>
      </c>
      <c r="L6" s="9" t="n">
        <v>7.545619</v>
      </c>
      <c r="M6" s="9" t="n">
        <v>7.541218</v>
      </c>
      <c r="N6" s="9" t="n">
        <v>7.699862</v>
      </c>
      <c r="O6" s="9" t="n">
        <v>7.656452</v>
      </c>
      <c r="P6" s="9" t="n">
        <v>7.489877</v>
      </c>
      <c r="Q6" s="9" t="n">
        <v>7.385384</v>
      </c>
      <c r="R6" s="9" t="n">
        <v>7.223349</v>
      </c>
      <c r="S6" s="9" t="n">
        <v>6.880542</v>
      </c>
      <c r="T6" s="9" t="n">
        <v>7.034851</v>
      </c>
      <c r="U6" s="9" t="n">
        <v>7.219599</v>
      </c>
      <c r="V6" s="9" t="n">
        <v>7.049311</v>
      </c>
      <c r="W6" s="9" t="n">
        <v>7.13935</v>
      </c>
      <c r="X6" s="9" t="n">
        <v>7.081359</v>
      </c>
      <c r="Y6" s="9" t="n">
        <v>7.078887</v>
      </c>
      <c r="Z6" s="9" t="n">
        <v>7.126308</v>
      </c>
      <c r="AA6" s="9" t="n">
        <v>7.074532</v>
      </c>
      <c r="AB6" s="9" t="n">
        <v>7.164825</v>
      </c>
      <c r="AC6" s="9" t="n">
        <v>7.147442</v>
      </c>
      <c r="AD6" s="9" t="n">
        <v>7.099976</v>
      </c>
      <c r="AE6" s="9" t="n">
        <v>7.092606</v>
      </c>
      <c r="AF6" s="9" t="n">
        <v>7.069679</v>
      </c>
      <c r="AG6" s="9" t="n">
        <v>7.031319</v>
      </c>
      <c r="AH6" s="9" t="n">
        <v>7.029701</v>
      </c>
      <c r="AI6" s="9" t="n">
        <v>7.028161</v>
      </c>
      <c r="AJ6" s="9" t="n">
        <v>7.011424</v>
      </c>
      <c r="AK6" s="9" t="n">
        <v>7.3706</v>
      </c>
      <c r="AL6" s="9" t="n">
        <v>7.377971</v>
      </c>
      <c r="AM6" s="9" t="n">
        <v>7.566672</v>
      </c>
      <c r="AO6" s="9">
        <f>E6-D6</f>
        <v/>
      </c>
      <c r="AP6" s="9">
        <f>F6-E6</f>
        <v/>
      </c>
      <c r="AQ6" s="9">
        <f>G6-F6</f>
        <v/>
      </c>
      <c r="AR6" s="9">
        <f>H6-G6</f>
        <v/>
      </c>
      <c r="AS6" s="9">
        <f>I6-H6</f>
        <v/>
      </c>
      <c r="AT6" s="9">
        <f>J6-I6</f>
        <v/>
      </c>
      <c r="AU6" s="9">
        <f>K6-J6</f>
        <v/>
      </c>
      <c r="AV6" s="9">
        <f>L6-K6</f>
        <v/>
      </c>
      <c r="AW6" s="9">
        <f>M6-L6</f>
        <v/>
      </c>
      <c r="AX6" s="9">
        <f>N6-M6</f>
        <v/>
      </c>
      <c r="AY6" s="9">
        <f>O6-N6</f>
        <v/>
      </c>
      <c r="AZ6" s="9">
        <f>P6-O6</f>
        <v/>
      </c>
      <c r="BA6" s="9">
        <f>Q6-P6</f>
        <v/>
      </c>
      <c r="BB6" s="9">
        <f>R6-Q6</f>
        <v/>
      </c>
      <c r="BC6" s="9">
        <f>S6-R6</f>
        <v/>
      </c>
      <c r="BD6" s="9">
        <f>T6-S6</f>
        <v/>
      </c>
      <c r="BE6" s="9">
        <f>U6-T6</f>
        <v/>
      </c>
      <c r="BF6" s="9">
        <f>V6-U6</f>
        <v/>
      </c>
      <c r="BG6" s="9">
        <f>W6-V6</f>
        <v/>
      </c>
      <c r="BH6" s="9">
        <f>X6-W6</f>
        <v/>
      </c>
      <c r="BI6" s="9">
        <f>Y6-X6</f>
        <v/>
      </c>
      <c r="BJ6" s="9">
        <f>Z6-Y6</f>
        <v/>
      </c>
      <c r="BK6" s="9">
        <f>AA6-Z6</f>
        <v/>
      </c>
      <c r="BL6" s="9">
        <f>AB6-AA6</f>
        <v/>
      </c>
      <c r="BM6" s="9">
        <f>AC6-AB6</f>
        <v/>
      </c>
      <c r="BN6" s="9">
        <f>AD6-AC6</f>
        <v/>
      </c>
      <c r="BO6" s="9">
        <f>AE6-AD6</f>
        <v/>
      </c>
      <c r="BP6" s="9">
        <f>AF6-AE6</f>
        <v/>
      </c>
      <c r="BQ6" s="9">
        <f>AG6-AF6</f>
        <v/>
      </c>
      <c r="BR6" s="9">
        <f>AH6-AG6</f>
        <v/>
      </c>
      <c r="BS6" s="9">
        <f>AI6-AH6</f>
        <v/>
      </c>
      <c r="BT6" s="9">
        <f>AJ6-AI6</f>
        <v/>
      </c>
      <c r="BU6" s="9">
        <f>AK6-AJ6</f>
        <v/>
      </c>
      <c r="BV6" s="9">
        <f>AL6-AK6</f>
        <v/>
      </c>
      <c r="BW6" s="9">
        <f>AM6-AL6</f>
        <v/>
      </c>
    </row>
    <row r="7">
      <c r="A7" s="4" t="inlineStr">
        <is>
          <t>EL — обеспеченные</t>
        </is>
      </c>
      <c r="B7" s="12" t="inlineStr">
        <is>
          <t>RB</t>
        </is>
      </c>
      <c r="C7" s="11" t="n">
        <v>7</v>
      </c>
      <c r="D7" s="9" t="n">
        <v>1.334152</v>
      </c>
      <c r="E7" s="9" t="n">
        <v>1.334097</v>
      </c>
      <c r="F7" s="9" t="n">
        <v>1.324876</v>
      </c>
      <c r="G7" s="9" t="n">
        <v>1.363572</v>
      </c>
      <c r="H7" s="9" t="n">
        <v>1.347993</v>
      </c>
      <c r="I7" s="9" t="n">
        <v>1.424419</v>
      </c>
      <c r="J7" s="9" t="n">
        <v>1.395834</v>
      </c>
      <c r="K7" s="9" t="n">
        <v>1.412628</v>
      </c>
      <c r="L7" s="9" t="n">
        <v>1.416922</v>
      </c>
      <c r="M7" s="9" t="n">
        <v>1.481267</v>
      </c>
      <c r="N7" s="9" t="n">
        <v>1.570876</v>
      </c>
      <c r="O7" s="9" t="n">
        <v>1.497854</v>
      </c>
      <c r="P7" s="9" t="n">
        <v>1.435108</v>
      </c>
      <c r="Q7" s="9" t="n">
        <v>1.443728</v>
      </c>
      <c r="R7" s="9" t="n">
        <v>1.338809</v>
      </c>
      <c r="S7" s="9" t="n">
        <v>1.235632</v>
      </c>
      <c r="T7" s="9" t="n">
        <v>1.311974</v>
      </c>
      <c r="U7" s="9" t="n">
        <v>1.327887</v>
      </c>
      <c r="V7" s="9" t="n">
        <v>1.315344</v>
      </c>
      <c r="W7" s="9" t="n">
        <v>1.32047</v>
      </c>
      <c r="X7" s="9" t="n">
        <v>1.365542</v>
      </c>
      <c r="Y7" s="9" t="n">
        <v>1.381124</v>
      </c>
      <c r="Z7" s="9" t="n">
        <v>1.397907</v>
      </c>
      <c r="AA7" s="9" t="n">
        <v>1.370362</v>
      </c>
      <c r="AB7" s="9" t="n">
        <v>1.3795</v>
      </c>
      <c r="AC7" s="9" t="n">
        <v>1.349421</v>
      </c>
      <c r="AD7" s="9" t="n">
        <v>1.348437</v>
      </c>
      <c r="AE7" s="9" t="n">
        <v>1.322858</v>
      </c>
      <c r="AF7" s="9" t="n">
        <v>1.308495</v>
      </c>
      <c r="AG7" s="9" t="n">
        <v>1.427522</v>
      </c>
      <c r="AH7" s="9" t="n">
        <v>1.449854</v>
      </c>
      <c r="AI7" s="9" t="n">
        <v>1.528519</v>
      </c>
      <c r="AJ7" s="9" t="n">
        <v>1.589895</v>
      </c>
      <c r="AK7" s="9" t="n">
        <v>1.552727</v>
      </c>
      <c r="AL7" s="9" t="n">
        <v>1.606792</v>
      </c>
      <c r="AM7" s="9" t="n">
        <v>1.635852</v>
      </c>
      <c r="AO7" s="9">
        <f>E7-D7</f>
        <v/>
      </c>
      <c r="AP7" s="9">
        <f>F7-E7</f>
        <v/>
      </c>
      <c r="AQ7" s="9">
        <f>G7-F7</f>
        <v/>
      </c>
      <c r="AR7" s="9">
        <f>H7-G7</f>
        <v/>
      </c>
      <c r="AS7" s="9">
        <f>I7-H7</f>
        <v/>
      </c>
      <c r="AT7" s="9">
        <f>J7-I7</f>
        <v/>
      </c>
      <c r="AU7" s="9">
        <f>K7-J7</f>
        <v/>
      </c>
      <c r="AV7" s="9">
        <f>L7-K7</f>
        <v/>
      </c>
      <c r="AW7" s="9">
        <f>M7-L7</f>
        <v/>
      </c>
      <c r="AX7" s="9">
        <f>N7-M7</f>
        <v/>
      </c>
      <c r="AY7" s="9">
        <f>O7-N7</f>
        <v/>
      </c>
      <c r="AZ7" s="9">
        <f>P7-O7</f>
        <v/>
      </c>
      <c r="BA7" s="9">
        <f>Q7-P7</f>
        <v/>
      </c>
      <c r="BB7" s="9">
        <f>R7-Q7</f>
        <v/>
      </c>
      <c r="BC7" s="9">
        <f>S7-R7</f>
        <v/>
      </c>
      <c r="BD7" s="9">
        <f>T7-S7</f>
        <v/>
      </c>
      <c r="BE7" s="9">
        <f>U7-T7</f>
        <v/>
      </c>
      <c r="BF7" s="9">
        <f>V7-U7</f>
        <v/>
      </c>
      <c r="BG7" s="9">
        <f>W7-V7</f>
        <v/>
      </c>
      <c r="BH7" s="9">
        <f>X7-W7</f>
        <v/>
      </c>
      <c r="BI7" s="9">
        <f>Y7-X7</f>
        <v/>
      </c>
      <c r="BJ7" s="9">
        <f>Z7-Y7</f>
        <v/>
      </c>
      <c r="BK7" s="9">
        <f>AA7-Z7</f>
        <v/>
      </c>
      <c r="BL7" s="9">
        <f>AB7-AA7</f>
        <v/>
      </c>
      <c r="BM7" s="9">
        <f>AC7-AB7</f>
        <v/>
      </c>
      <c r="BN7" s="9">
        <f>AD7-AC7</f>
        <v/>
      </c>
      <c r="BO7" s="9">
        <f>AE7-AD7</f>
        <v/>
      </c>
      <c r="BP7" s="9">
        <f>AF7-AE7</f>
        <v/>
      </c>
      <c r="BQ7" s="9">
        <f>AG7-AF7</f>
        <v/>
      </c>
      <c r="BR7" s="9">
        <f>AH7-AG7</f>
        <v/>
      </c>
      <c r="BS7" s="9">
        <f>AI7-AH7</f>
        <v/>
      </c>
      <c r="BT7" s="9">
        <f>AJ7-AI7</f>
        <v/>
      </c>
      <c r="BU7" s="9">
        <f>AK7-AJ7</f>
        <v/>
      </c>
      <c r="BV7" s="9">
        <f>AL7-AK7</f>
        <v/>
      </c>
      <c r="BW7" s="9">
        <f>AM7-AL7</f>
        <v/>
      </c>
    </row>
    <row r="8">
      <c r="A8" s="4" t="inlineStr">
        <is>
          <t>EL — прочие</t>
        </is>
      </c>
      <c r="B8" s="12" t="inlineStr">
        <is>
          <t>RB</t>
        </is>
      </c>
      <c r="C8" s="11" t="n">
        <v>10</v>
      </c>
      <c r="D8" s="9" t="n">
        <v>3.326879</v>
      </c>
      <c r="E8" s="9" t="n">
        <v>3.202222</v>
      </c>
      <c r="F8" s="9" t="n">
        <v>3.1625</v>
      </c>
      <c r="G8" s="9" t="n">
        <v>3.149127</v>
      </c>
      <c r="H8" s="9" t="n">
        <v>3.160358</v>
      </c>
      <c r="I8" s="9" t="n">
        <v>3.051504</v>
      </c>
      <c r="J8" s="9" t="n">
        <v>3.056607</v>
      </c>
      <c r="K8" s="9" t="n">
        <v>3.012888</v>
      </c>
      <c r="L8" s="9" t="n">
        <v>3.014183</v>
      </c>
      <c r="M8" s="9" t="n">
        <v>2.959452</v>
      </c>
      <c r="N8" s="9" t="n">
        <v>3.013192</v>
      </c>
      <c r="O8" s="9" t="n">
        <v>3.064589</v>
      </c>
      <c r="P8" s="9" t="n">
        <v>2.827206</v>
      </c>
      <c r="Q8" s="9" t="n">
        <v>2.773865</v>
      </c>
      <c r="R8" s="9" t="n">
        <v>2.754806</v>
      </c>
      <c r="S8" s="9" t="n">
        <v>2.752117</v>
      </c>
      <c r="T8" s="9" t="n">
        <v>2.65327</v>
      </c>
      <c r="U8" s="9" t="n">
        <v>2.565213</v>
      </c>
      <c r="V8" s="9" t="n">
        <v>2.612028</v>
      </c>
      <c r="W8" s="9" t="n">
        <v>2.654717</v>
      </c>
      <c r="X8" s="9" t="n">
        <v>2.738199</v>
      </c>
      <c r="Y8" s="9" t="n">
        <v>2.571633</v>
      </c>
      <c r="Z8" s="9" t="n">
        <v>2.445707</v>
      </c>
      <c r="AA8" s="9" t="n">
        <v>2.403899</v>
      </c>
      <c r="AB8" s="9" t="n">
        <v>2.404753</v>
      </c>
      <c r="AC8" s="9" t="n">
        <v>2.376893</v>
      </c>
      <c r="AD8" s="9" t="n">
        <v>2.546951</v>
      </c>
      <c r="AE8" s="9" t="n">
        <v>2.561576</v>
      </c>
      <c r="AF8" s="9" t="n">
        <v>2.542604</v>
      </c>
      <c r="AG8" s="9" t="n">
        <v>2.455625</v>
      </c>
      <c r="AH8" s="9" t="n">
        <v>2.303325</v>
      </c>
      <c r="AI8" s="9" t="n">
        <v>2.321167</v>
      </c>
      <c r="AJ8" s="9" t="n">
        <v>2.289344</v>
      </c>
      <c r="AK8" s="9" t="n">
        <v>2.348211</v>
      </c>
      <c r="AL8" s="9" t="n">
        <v>2.306177</v>
      </c>
      <c r="AM8" s="9" t="n">
        <v>2.471786</v>
      </c>
      <c r="AO8" s="9">
        <f>E8-D8</f>
        <v/>
      </c>
      <c r="AP8" s="9">
        <f>F8-E8</f>
        <v/>
      </c>
      <c r="AQ8" s="9">
        <f>G8-F8</f>
        <v/>
      </c>
      <c r="AR8" s="9">
        <f>H8-G8</f>
        <v/>
      </c>
      <c r="AS8" s="9">
        <f>I8-H8</f>
        <v/>
      </c>
      <c r="AT8" s="9">
        <f>J8-I8</f>
        <v/>
      </c>
      <c r="AU8" s="9">
        <f>K8-J8</f>
        <v/>
      </c>
      <c r="AV8" s="9">
        <f>L8-K8</f>
        <v/>
      </c>
      <c r="AW8" s="9">
        <f>M8-L8</f>
        <v/>
      </c>
      <c r="AX8" s="9">
        <f>N8-M8</f>
        <v/>
      </c>
      <c r="AY8" s="9">
        <f>O8-N8</f>
        <v/>
      </c>
      <c r="AZ8" s="9">
        <f>P8-O8</f>
        <v/>
      </c>
      <c r="BA8" s="9">
        <f>Q8-P8</f>
        <v/>
      </c>
      <c r="BB8" s="9">
        <f>R8-Q8</f>
        <v/>
      </c>
      <c r="BC8" s="9">
        <f>S8-R8</f>
        <v/>
      </c>
      <c r="BD8" s="9">
        <f>T8-S8</f>
        <v/>
      </c>
      <c r="BE8" s="9">
        <f>U8-T8</f>
        <v/>
      </c>
      <c r="BF8" s="9">
        <f>V8-U8</f>
        <v/>
      </c>
      <c r="BG8" s="9">
        <f>W8-V8</f>
        <v/>
      </c>
      <c r="BH8" s="9">
        <f>X8-W8</f>
        <v/>
      </c>
      <c r="BI8" s="9">
        <f>Y8-X8</f>
        <v/>
      </c>
      <c r="BJ8" s="9">
        <f>Z8-Y8</f>
        <v/>
      </c>
      <c r="BK8" s="9">
        <f>AA8-Z8</f>
        <v/>
      </c>
      <c r="BL8" s="9">
        <f>AB8-AA8</f>
        <v/>
      </c>
      <c r="BM8" s="9">
        <f>AC8-AB8</f>
        <v/>
      </c>
      <c r="BN8" s="9">
        <f>AD8-AC8</f>
        <v/>
      </c>
      <c r="BO8" s="9">
        <f>AE8-AD8</f>
        <v/>
      </c>
      <c r="BP8" s="9">
        <f>AF8-AE8</f>
        <v/>
      </c>
      <c r="BQ8" s="9">
        <f>AG8-AF8</f>
        <v/>
      </c>
      <c r="BR8" s="9">
        <f>AH8-AG8</f>
        <v/>
      </c>
      <c r="BS8" s="9">
        <f>AI8-AH8</f>
        <v/>
      </c>
      <c r="BT8" s="9">
        <f>AJ8-AI8</f>
        <v/>
      </c>
      <c r="BU8" s="9">
        <f>AK8-AJ8</f>
        <v/>
      </c>
      <c r="BV8" s="9">
        <f>AL8-AK8</f>
        <v/>
      </c>
      <c r="BW8" s="9">
        <f>AM8-AL8</f>
        <v/>
      </c>
    </row>
    <row r="9">
      <c r="A9" s="4" t="inlineStr">
        <is>
          <t>PD — необеспеченные</t>
        </is>
      </c>
      <c r="B9" s="12" t="inlineStr">
        <is>
          <t>RB</t>
        </is>
      </c>
      <c r="C9" s="11" t="n">
        <v>15</v>
      </c>
      <c r="D9" s="9" t="n">
        <v>11.60745</v>
      </c>
      <c r="E9" s="9" t="n">
        <v>11.60097</v>
      </c>
      <c r="F9" s="9" t="n">
        <v>11.557592</v>
      </c>
      <c r="G9" s="9" t="n">
        <v>11.600434</v>
      </c>
      <c r="H9" s="9" t="n">
        <v>11.609779</v>
      </c>
      <c r="I9" s="9" t="n">
        <v>11.578222</v>
      </c>
      <c r="J9" s="9" t="n">
        <v>11.504748</v>
      </c>
      <c r="K9" s="9" t="n">
        <v>11.470526</v>
      </c>
      <c r="L9" s="9" t="n">
        <v>11.567866</v>
      </c>
      <c r="M9" s="9" t="n">
        <v>11.537957</v>
      </c>
      <c r="N9" s="9" t="n">
        <v>11.689138</v>
      </c>
      <c r="O9" s="9" t="n">
        <v>11.74201</v>
      </c>
      <c r="P9" s="9" t="n">
        <v>11.687766</v>
      </c>
      <c r="Q9" s="9" t="n">
        <v>11.716373</v>
      </c>
      <c r="R9" s="9" t="n">
        <v>11.627811</v>
      </c>
      <c r="S9" s="9" t="n">
        <v>11.221708</v>
      </c>
      <c r="T9" s="9" t="n">
        <v>11.558577</v>
      </c>
      <c r="U9" s="9" t="n">
        <v>11.760264</v>
      </c>
      <c r="V9" s="9" t="n">
        <v>11.559204</v>
      </c>
      <c r="W9" s="9" t="n">
        <v>11.592315</v>
      </c>
      <c r="X9" s="9" t="n">
        <v>11.533197</v>
      </c>
      <c r="Y9" s="9" t="n">
        <v>11.505819</v>
      </c>
      <c r="Z9" s="9" t="n">
        <v>11.613521</v>
      </c>
      <c r="AA9" s="9" t="n">
        <v>11.503023</v>
      </c>
      <c r="AB9" s="9" t="n">
        <v>11.624704</v>
      </c>
      <c r="AC9" s="9" t="n">
        <v>11.571404</v>
      </c>
      <c r="AD9" s="9" t="n">
        <v>11.538188</v>
      </c>
      <c r="AE9" s="9" t="n">
        <v>11.503777</v>
      </c>
      <c r="AF9" s="9" t="n">
        <v>11.398796</v>
      </c>
      <c r="AG9" s="9" t="n">
        <v>11.227537</v>
      </c>
      <c r="AH9" s="9" t="n">
        <v>11.207139</v>
      </c>
      <c r="AI9" s="9" t="n">
        <v>11.177429</v>
      </c>
      <c r="AJ9" s="9" t="n">
        <v>11.041782</v>
      </c>
      <c r="AK9" s="9" t="n">
        <v>11.006035</v>
      </c>
      <c r="AL9" s="9" t="n">
        <v>10.98054</v>
      </c>
      <c r="AM9" s="9" t="n">
        <v>10.961171</v>
      </c>
      <c r="AO9" s="9">
        <f>E9-D9</f>
        <v/>
      </c>
      <c r="AP9" s="9">
        <f>F9-E9</f>
        <v/>
      </c>
      <c r="AQ9" s="9">
        <f>G9-F9</f>
        <v/>
      </c>
      <c r="AR9" s="9">
        <f>H9-G9</f>
        <v/>
      </c>
      <c r="AS9" s="9">
        <f>I9-H9</f>
        <v/>
      </c>
      <c r="AT9" s="9">
        <f>J9-I9</f>
        <v/>
      </c>
      <c r="AU9" s="9">
        <f>K9-J9</f>
        <v/>
      </c>
      <c r="AV9" s="9">
        <f>L9-K9</f>
        <v/>
      </c>
      <c r="AW9" s="9">
        <f>M9-L9</f>
        <v/>
      </c>
      <c r="AX9" s="9">
        <f>N9-M9</f>
        <v/>
      </c>
      <c r="AY9" s="9">
        <f>O9-N9</f>
        <v/>
      </c>
      <c r="AZ9" s="9">
        <f>P9-O9</f>
        <v/>
      </c>
      <c r="BA9" s="9">
        <f>Q9-P9</f>
        <v/>
      </c>
      <c r="BB9" s="9">
        <f>R9-Q9</f>
        <v/>
      </c>
      <c r="BC9" s="9">
        <f>S9-R9</f>
        <v/>
      </c>
      <c r="BD9" s="9">
        <f>T9-S9</f>
        <v/>
      </c>
      <c r="BE9" s="9">
        <f>U9-T9</f>
        <v/>
      </c>
      <c r="BF9" s="9">
        <f>V9-U9</f>
        <v/>
      </c>
      <c r="BG9" s="9">
        <f>W9-V9</f>
        <v/>
      </c>
      <c r="BH9" s="9">
        <f>X9-W9</f>
        <v/>
      </c>
      <c r="BI9" s="9">
        <f>Y9-X9</f>
        <v/>
      </c>
      <c r="BJ9" s="9">
        <f>Z9-Y9</f>
        <v/>
      </c>
      <c r="BK9" s="9">
        <f>AA9-Z9</f>
        <v/>
      </c>
      <c r="BL9" s="9">
        <f>AB9-AA9</f>
        <v/>
      </c>
      <c r="BM9" s="9">
        <f>AC9-AB9</f>
        <v/>
      </c>
      <c r="BN9" s="9">
        <f>AD9-AC9</f>
        <v/>
      </c>
      <c r="BO9" s="9">
        <f>AE9-AD9</f>
        <v/>
      </c>
      <c r="BP9" s="9">
        <f>AF9-AE9</f>
        <v/>
      </c>
      <c r="BQ9" s="9">
        <f>AG9-AF9</f>
        <v/>
      </c>
      <c r="BR9" s="9">
        <f>AH9-AG9</f>
        <v/>
      </c>
      <c r="BS9" s="9">
        <f>AI9-AH9</f>
        <v/>
      </c>
      <c r="BT9" s="9">
        <f>AJ9-AI9</f>
        <v/>
      </c>
      <c r="BU9" s="9">
        <f>AK9-AJ9</f>
        <v/>
      </c>
      <c r="BV9" s="9">
        <f>AL9-AK9</f>
        <v/>
      </c>
      <c r="BW9" s="9">
        <f>AM9-AL9</f>
        <v/>
      </c>
    </row>
    <row r="10">
      <c r="A10" s="4" t="inlineStr">
        <is>
          <t>PD — необеспеченные, наличные</t>
        </is>
      </c>
      <c r="B10" s="12" t="inlineStr">
        <is>
          <t>RB</t>
        </is>
      </c>
      <c r="C10" s="11" t="n">
        <v>15</v>
      </c>
      <c r="D10" s="9" t="n">
        <v>11.674808</v>
      </c>
      <c r="E10" s="9" t="n">
        <v>11.668178</v>
      </c>
      <c r="F10" s="9" t="n">
        <v>11.61045</v>
      </c>
      <c r="G10" s="9" t="n">
        <v>11.661356</v>
      </c>
      <c r="H10" s="9" t="n">
        <v>11.655618</v>
      </c>
      <c r="I10" s="9" t="n">
        <v>11.614657</v>
      </c>
      <c r="J10" s="9" t="n">
        <v>11.584871</v>
      </c>
      <c r="K10" s="9" t="n">
        <v>11.584976</v>
      </c>
      <c r="L10" s="9" t="n">
        <v>11.69753</v>
      </c>
      <c r="M10" s="9" t="n">
        <v>11.659563</v>
      </c>
      <c r="N10" s="9" t="n">
        <v>11.865741</v>
      </c>
      <c r="O10" s="9" t="n">
        <v>11.917347</v>
      </c>
      <c r="P10" s="9" t="n">
        <v>11.843573</v>
      </c>
      <c r="Q10" s="9" t="n">
        <v>11.888088</v>
      </c>
      <c r="R10" s="9" t="n">
        <v>11.812672</v>
      </c>
      <c r="S10" s="9" t="n">
        <v>11.320271</v>
      </c>
      <c r="T10" s="9" t="n">
        <v>11.711669</v>
      </c>
      <c r="U10" s="9" t="n">
        <v>11.95958</v>
      </c>
      <c r="V10" s="9" t="n">
        <v>11.735592</v>
      </c>
      <c r="W10" s="9" t="n">
        <v>11.762706</v>
      </c>
      <c r="X10" s="9" t="n">
        <v>11.704674</v>
      </c>
      <c r="Y10" s="9" t="n">
        <v>11.675266</v>
      </c>
      <c r="Z10" s="9" t="n">
        <v>11.795348</v>
      </c>
      <c r="AA10" s="9" t="n">
        <v>11.668777</v>
      </c>
      <c r="AB10" s="9" t="n">
        <v>11.789555</v>
      </c>
      <c r="AC10" s="9" t="n">
        <v>11.726212</v>
      </c>
      <c r="AD10" s="9" t="n">
        <v>11.70914</v>
      </c>
      <c r="AE10" s="9" t="n">
        <v>11.651701</v>
      </c>
      <c r="AF10" s="9" t="n">
        <v>11.531915</v>
      </c>
      <c r="AG10" s="9" t="n">
        <v>11.341787</v>
      </c>
      <c r="AH10" s="9" t="n">
        <v>11.319256</v>
      </c>
      <c r="AI10" s="9" t="n">
        <v>11.279728</v>
      </c>
      <c r="AJ10" s="9" t="n">
        <v>11.12813</v>
      </c>
      <c r="AK10" s="9" t="n">
        <v>11.092788</v>
      </c>
      <c r="AL10" s="9" t="n">
        <v>11.065915</v>
      </c>
      <c r="AM10" s="9" t="n">
        <v>11.046123</v>
      </c>
      <c r="AO10" s="9">
        <f>E10-D10</f>
        <v/>
      </c>
      <c r="AP10" s="9">
        <f>F10-E10</f>
        <v/>
      </c>
      <c r="AQ10" s="9">
        <f>G10-F10</f>
        <v/>
      </c>
      <c r="AR10" s="9">
        <f>H10-G10</f>
        <v/>
      </c>
      <c r="AS10" s="9">
        <f>I10-H10</f>
        <v/>
      </c>
      <c r="AT10" s="9">
        <f>J10-I10</f>
        <v/>
      </c>
      <c r="AU10" s="9">
        <f>K10-J10</f>
        <v/>
      </c>
      <c r="AV10" s="9">
        <f>L10-K10</f>
        <v/>
      </c>
      <c r="AW10" s="9">
        <f>M10-L10</f>
        <v/>
      </c>
      <c r="AX10" s="9">
        <f>N10-M10</f>
        <v/>
      </c>
      <c r="AY10" s="9">
        <f>O10-N10</f>
        <v/>
      </c>
      <c r="AZ10" s="9">
        <f>P10-O10</f>
        <v/>
      </c>
      <c r="BA10" s="9">
        <f>Q10-P10</f>
        <v/>
      </c>
      <c r="BB10" s="9">
        <f>R10-Q10</f>
        <v/>
      </c>
      <c r="BC10" s="9">
        <f>S10-R10</f>
        <v/>
      </c>
      <c r="BD10" s="9">
        <f>T10-S10</f>
        <v/>
      </c>
      <c r="BE10" s="9">
        <f>U10-T10</f>
        <v/>
      </c>
      <c r="BF10" s="9">
        <f>V10-U10</f>
        <v/>
      </c>
      <c r="BG10" s="9">
        <f>W10-V10</f>
        <v/>
      </c>
      <c r="BH10" s="9">
        <f>X10-W10</f>
        <v/>
      </c>
      <c r="BI10" s="9">
        <f>Y10-X10</f>
        <v/>
      </c>
      <c r="BJ10" s="9">
        <f>Z10-Y10</f>
        <v/>
      </c>
      <c r="BK10" s="9">
        <f>AA10-Z10</f>
        <v/>
      </c>
      <c r="BL10" s="9">
        <f>AB10-AA10</f>
        <v/>
      </c>
      <c r="BM10" s="9">
        <f>AC10-AB10</f>
        <v/>
      </c>
      <c r="BN10" s="9">
        <f>AD10-AC10</f>
        <v/>
      </c>
      <c r="BO10" s="9">
        <f>AE10-AD10</f>
        <v/>
      </c>
      <c r="BP10" s="9">
        <f>AF10-AE10</f>
        <v/>
      </c>
      <c r="BQ10" s="9">
        <f>AG10-AF10</f>
        <v/>
      </c>
      <c r="BR10" s="9">
        <f>AH10-AG10</f>
        <v/>
      </c>
      <c r="BS10" s="9">
        <f>AI10-AH10</f>
        <v/>
      </c>
      <c r="BT10" s="9">
        <f>AJ10-AI10</f>
        <v/>
      </c>
      <c r="BU10" s="9">
        <f>AK10-AJ10</f>
        <v/>
      </c>
      <c r="BV10" s="9">
        <f>AL10-AK10</f>
        <v/>
      </c>
      <c r="BW10" s="9">
        <f>AM10-AL10</f>
        <v/>
      </c>
    </row>
    <row r="11">
      <c r="A11" s="4" t="inlineStr">
        <is>
          <t>PD — необеспеченные, товарные</t>
        </is>
      </c>
      <c r="B11" s="12" t="inlineStr">
        <is>
          <t>RB</t>
        </is>
      </c>
      <c r="C11" s="11" t="n">
        <v>15</v>
      </c>
      <c r="D11" s="9" t="n">
        <v>11.50521</v>
      </c>
      <c r="E11" s="9" t="n">
        <v>11.50766</v>
      </c>
      <c r="F11" s="9" t="n">
        <v>11.54243</v>
      </c>
      <c r="G11" s="9" t="n">
        <v>11.55294</v>
      </c>
      <c r="H11" s="9" t="n">
        <v>11.651115</v>
      </c>
      <c r="I11" s="9" t="n">
        <v>11.668182</v>
      </c>
      <c r="J11" s="9" t="n">
        <v>11.352983</v>
      </c>
      <c r="K11" s="9" t="n">
        <v>11.106068</v>
      </c>
      <c r="L11" s="9" t="n">
        <v>11.114965</v>
      </c>
      <c r="M11" s="9" t="n">
        <v>11.141404</v>
      </c>
      <c r="N11" s="9" t="n">
        <v>10.962641</v>
      </c>
      <c r="O11" s="9" t="n">
        <v>11.007145</v>
      </c>
      <c r="P11" s="9" t="n">
        <v>11.075746</v>
      </c>
      <c r="Q11" s="9" t="n">
        <v>11.00069</v>
      </c>
      <c r="R11" s="9" t="n">
        <v>10.821536</v>
      </c>
      <c r="S11" s="9" t="n">
        <v>10.931785</v>
      </c>
      <c r="T11" s="9" t="n">
        <v>10.944521</v>
      </c>
      <c r="U11" s="9" t="n">
        <v>10.843042</v>
      </c>
      <c r="V11" s="9" t="n">
        <v>10.762585</v>
      </c>
      <c r="W11" s="9" t="n">
        <v>10.804766</v>
      </c>
      <c r="X11" s="9" t="n">
        <v>10.735113</v>
      </c>
      <c r="Y11" s="9" t="n">
        <v>10.688897</v>
      </c>
      <c r="Z11" s="9" t="n">
        <v>10.682042</v>
      </c>
      <c r="AA11" s="9" t="n">
        <v>10.659418</v>
      </c>
      <c r="AB11" s="9" t="n">
        <v>10.766198</v>
      </c>
      <c r="AC11" s="9" t="n">
        <v>10.756449</v>
      </c>
      <c r="AD11" s="9" t="n">
        <v>10.534971</v>
      </c>
      <c r="AE11" s="9" t="n">
        <v>10.655369</v>
      </c>
      <c r="AF11" s="9" t="n">
        <v>10.633609</v>
      </c>
      <c r="AG11" s="9" t="n">
        <v>10.600999</v>
      </c>
      <c r="AH11" s="9" t="n">
        <v>10.577046</v>
      </c>
      <c r="AI11" s="9" t="n">
        <v>10.597294</v>
      </c>
      <c r="AJ11" s="9" t="n">
        <v>10.629639</v>
      </c>
      <c r="AK11" s="9" t="n">
        <v>10.577601</v>
      </c>
      <c r="AL11" s="9" t="n">
        <v>10.612922</v>
      </c>
      <c r="AM11" s="9" t="n">
        <v>10.586523</v>
      </c>
      <c r="AO11" s="9">
        <f>E11-D11</f>
        <v/>
      </c>
      <c r="AP11" s="9">
        <f>F11-E11</f>
        <v/>
      </c>
      <c r="AQ11" s="9">
        <f>G11-F11</f>
        <v/>
      </c>
      <c r="AR11" s="9">
        <f>H11-G11</f>
        <v/>
      </c>
      <c r="AS11" s="9">
        <f>I11-H11</f>
        <v/>
      </c>
      <c r="AT11" s="9">
        <f>J11-I11</f>
        <v/>
      </c>
      <c r="AU11" s="9">
        <f>K11-J11</f>
        <v/>
      </c>
      <c r="AV11" s="9">
        <f>L11-K11</f>
        <v/>
      </c>
      <c r="AW11" s="9">
        <f>M11-L11</f>
        <v/>
      </c>
      <c r="AX11" s="9">
        <f>N11-M11</f>
        <v/>
      </c>
      <c r="AY11" s="9">
        <f>O11-N11</f>
        <v/>
      </c>
      <c r="AZ11" s="9">
        <f>P11-O11</f>
        <v/>
      </c>
      <c r="BA11" s="9">
        <f>Q11-P11</f>
        <v/>
      </c>
      <c r="BB11" s="9">
        <f>R11-Q11</f>
        <v/>
      </c>
      <c r="BC11" s="9">
        <f>S11-R11</f>
        <v/>
      </c>
      <c r="BD11" s="9">
        <f>T11-S11</f>
        <v/>
      </c>
      <c r="BE11" s="9">
        <f>U11-T11</f>
        <v/>
      </c>
      <c r="BF11" s="9">
        <f>V11-U11</f>
        <v/>
      </c>
      <c r="BG11" s="9">
        <f>W11-V11</f>
        <v/>
      </c>
      <c r="BH11" s="9">
        <f>X11-W11</f>
        <v/>
      </c>
      <c r="BI11" s="9">
        <f>Y11-X11</f>
        <v/>
      </c>
      <c r="BJ11" s="9">
        <f>Z11-Y11</f>
        <v/>
      </c>
      <c r="BK11" s="9">
        <f>AA11-Z11</f>
        <v/>
      </c>
      <c r="BL11" s="9">
        <f>AB11-AA11</f>
        <v/>
      </c>
      <c r="BM11" s="9">
        <f>AC11-AB11</f>
        <v/>
      </c>
      <c r="BN11" s="9">
        <f>AD11-AC11</f>
        <v/>
      </c>
      <c r="BO11" s="9">
        <f>AE11-AD11</f>
        <v/>
      </c>
      <c r="BP11" s="9">
        <f>AF11-AE11</f>
        <v/>
      </c>
      <c r="BQ11" s="9">
        <f>AG11-AF11</f>
        <v/>
      </c>
      <c r="BR11" s="9">
        <f>AH11-AG11</f>
        <v/>
      </c>
      <c r="BS11" s="9">
        <f>AI11-AH11</f>
        <v/>
      </c>
      <c r="BT11" s="9">
        <f>AJ11-AI11</f>
        <v/>
      </c>
      <c r="BU11" s="9">
        <f>AK11-AJ11</f>
        <v/>
      </c>
      <c r="BV11" s="9">
        <f>AL11-AK11</f>
        <v/>
      </c>
      <c r="BW11" s="9">
        <f>AM11-AL11</f>
        <v/>
      </c>
    </row>
    <row r="12">
      <c r="A12" s="4" t="inlineStr">
        <is>
          <t>PD — обеспеченные</t>
        </is>
      </c>
      <c r="B12" s="12" t="inlineStr">
        <is>
          <t>RB</t>
        </is>
      </c>
      <c r="C12" s="11" t="n">
        <v>7</v>
      </c>
      <c r="D12" s="9" t="n">
        <v>4.686167</v>
      </c>
      <c r="E12" s="9" t="n">
        <v>4.757833</v>
      </c>
      <c r="F12" s="9" t="n">
        <v>4.71486</v>
      </c>
      <c r="G12" s="9" t="n">
        <v>4.769401</v>
      </c>
      <c r="H12" s="9" t="n">
        <v>4.703394</v>
      </c>
      <c r="I12" s="9" t="n">
        <v>4.713498</v>
      </c>
      <c r="J12" s="9" t="n">
        <v>4.709291</v>
      </c>
      <c r="K12" s="9" t="n">
        <v>4.765951</v>
      </c>
      <c r="L12" s="9" t="n">
        <v>4.872496</v>
      </c>
      <c r="M12" s="9" t="n">
        <v>4.872588</v>
      </c>
      <c r="N12" s="9" t="n">
        <v>5.174162</v>
      </c>
      <c r="O12" s="9" t="n">
        <v>5.1579</v>
      </c>
      <c r="P12" s="9" t="n">
        <v>5.192143</v>
      </c>
      <c r="Q12" s="9" t="n">
        <v>5.284508</v>
      </c>
      <c r="R12" s="9" t="n">
        <v>5.078941</v>
      </c>
      <c r="S12" s="9" t="n">
        <v>4.80978</v>
      </c>
      <c r="T12" s="9" t="n">
        <v>5.05383</v>
      </c>
      <c r="U12" s="9" t="n">
        <v>5.056691</v>
      </c>
      <c r="V12" s="9" t="n">
        <v>5.062908</v>
      </c>
      <c r="W12" s="9" t="n">
        <v>5.10031</v>
      </c>
      <c r="X12" s="9" t="n">
        <v>5.158827</v>
      </c>
      <c r="Y12" s="9" t="n">
        <v>5.188293</v>
      </c>
      <c r="Z12" s="9" t="n">
        <v>5.265188</v>
      </c>
      <c r="AA12" s="9" t="n">
        <v>5.145208</v>
      </c>
      <c r="AB12" s="9" t="n">
        <v>5.170206</v>
      </c>
      <c r="AC12" s="9" t="n">
        <v>5.180577</v>
      </c>
      <c r="AD12" s="9" t="n">
        <v>5.147123</v>
      </c>
      <c r="AE12" s="9" t="n">
        <v>5.141497</v>
      </c>
      <c r="AF12" s="9" t="n">
        <v>5.07536</v>
      </c>
      <c r="AG12" s="9" t="n">
        <v>5.087058</v>
      </c>
      <c r="AH12" s="9" t="n">
        <v>5.094358</v>
      </c>
      <c r="AI12" s="9" t="n">
        <v>5.105313</v>
      </c>
      <c r="AJ12" s="9" t="n">
        <v>5.097632</v>
      </c>
      <c r="AK12" s="9" t="n">
        <v>5.027749</v>
      </c>
      <c r="AL12" s="9" t="n">
        <v>5.033045</v>
      </c>
      <c r="AM12" s="9" t="n">
        <v>5.014115</v>
      </c>
      <c r="AO12" s="9">
        <f>E12-D12</f>
        <v/>
      </c>
      <c r="AP12" s="9">
        <f>F12-E12</f>
        <v/>
      </c>
      <c r="AQ12" s="9">
        <f>G12-F12</f>
        <v/>
      </c>
      <c r="AR12" s="9">
        <f>H12-G12</f>
        <v/>
      </c>
      <c r="AS12" s="9">
        <f>I12-H12</f>
        <v/>
      </c>
      <c r="AT12" s="9">
        <f>J12-I12</f>
        <v/>
      </c>
      <c r="AU12" s="9">
        <f>K12-J12</f>
        <v/>
      </c>
      <c r="AV12" s="9">
        <f>L12-K12</f>
        <v/>
      </c>
      <c r="AW12" s="9">
        <f>M12-L12</f>
        <v/>
      </c>
      <c r="AX12" s="9">
        <f>N12-M12</f>
        <v/>
      </c>
      <c r="AY12" s="9">
        <f>O12-N12</f>
        <v/>
      </c>
      <c r="AZ12" s="9">
        <f>P12-O12</f>
        <v/>
      </c>
      <c r="BA12" s="9">
        <f>Q12-P12</f>
        <v/>
      </c>
      <c r="BB12" s="9">
        <f>R12-Q12</f>
        <v/>
      </c>
      <c r="BC12" s="9">
        <f>S12-R12</f>
        <v/>
      </c>
      <c r="BD12" s="9">
        <f>T12-S12</f>
        <v/>
      </c>
      <c r="BE12" s="9">
        <f>U12-T12</f>
        <v/>
      </c>
      <c r="BF12" s="9">
        <f>V12-U12</f>
        <v/>
      </c>
      <c r="BG12" s="9">
        <f>W12-V12</f>
        <v/>
      </c>
      <c r="BH12" s="9">
        <f>X12-W12</f>
        <v/>
      </c>
      <c r="BI12" s="9">
        <f>Y12-X12</f>
        <v/>
      </c>
      <c r="BJ12" s="9">
        <f>Z12-Y12</f>
        <v/>
      </c>
      <c r="BK12" s="9">
        <f>AA12-Z12</f>
        <v/>
      </c>
      <c r="BL12" s="9">
        <f>AB12-AA12</f>
        <v/>
      </c>
      <c r="BM12" s="9">
        <f>AC12-AB12</f>
        <v/>
      </c>
      <c r="BN12" s="9">
        <f>AD12-AC12</f>
        <v/>
      </c>
      <c r="BO12" s="9">
        <f>AE12-AD12</f>
        <v/>
      </c>
      <c r="BP12" s="9">
        <f>AF12-AE12</f>
        <v/>
      </c>
      <c r="BQ12" s="9">
        <f>AG12-AF12</f>
        <v/>
      </c>
      <c r="BR12" s="9">
        <f>AH12-AG12</f>
        <v/>
      </c>
      <c r="BS12" s="9">
        <f>AI12-AH12</f>
        <v/>
      </c>
      <c r="BT12" s="9">
        <f>AJ12-AI12</f>
        <v/>
      </c>
      <c r="BU12" s="9">
        <f>AK12-AJ12</f>
        <v/>
      </c>
      <c r="BV12" s="9">
        <f>AL12-AK12</f>
        <v/>
      </c>
      <c r="BW12" s="9">
        <f>AM12-AL12</f>
        <v/>
      </c>
    </row>
    <row r="13">
      <c r="A13" s="4" t="inlineStr">
        <is>
          <t>PD — прочие</t>
        </is>
      </c>
      <c r="B13" s="12" t="inlineStr">
        <is>
          <t>RB</t>
        </is>
      </c>
      <c r="C13" s="11" t="n">
        <v>14</v>
      </c>
      <c r="D13" s="9" t="n">
        <v>5.170665</v>
      </c>
      <c r="E13" s="9" t="n">
        <v>4.970544</v>
      </c>
      <c r="F13" s="9" t="n">
        <v>4.914703</v>
      </c>
      <c r="G13" s="9" t="n">
        <v>4.891764</v>
      </c>
      <c r="H13" s="9" t="n">
        <v>4.888883</v>
      </c>
      <c r="I13" s="9" t="n">
        <v>4.727811</v>
      </c>
      <c r="J13" s="9" t="n">
        <v>4.681111</v>
      </c>
      <c r="K13" s="9" t="n">
        <v>4.61092</v>
      </c>
      <c r="L13" s="9" t="n">
        <v>4.614513</v>
      </c>
      <c r="M13" s="9" t="n">
        <v>4.586092</v>
      </c>
      <c r="N13" s="9" t="n">
        <v>4.54441</v>
      </c>
      <c r="O13" s="9" t="n">
        <v>4.62125</v>
      </c>
      <c r="P13" s="9" t="n">
        <v>4.498773</v>
      </c>
      <c r="Q13" s="9" t="n">
        <v>4.443795</v>
      </c>
      <c r="R13" s="9" t="n">
        <v>4.469202</v>
      </c>
      <c r="S13" s="9" t="n">
        <v>4.463136</v>
      </c>
      <c r="T13" s="9" t="n">
        <v>4.299537</v>
      </c>
      <c r="U13" s="9" t="n">
        <v>4.234974</v>
      </c>
      <c r="V13" s="9" t="n">
        <v>4.355903</v>
      </c>
      <c r="W13" s="9" t="n">
        <v>4.396757</v>
      </c>
      <c r="X13" s="9" t="n">
        <v>4.471538</v>
      </c>
      <c r="Y13" s="9" t="n">
        <v>4.195269</v>
      </c>
      <c r="Z13" s="9" t="n">
        <v>4.12505</v>
      </c>
      <c r="AA13" s="9" t="n">
        <v>4.047016</v>
      </c>
      <c r="AB13" s="9" t="n">
        <v>4.042882</v>
      </c>
      <c r="AC13" s="9" t="n">
        <v>3.989124</v>
      </c>
      <c r="AD13" s="9" t="n">
        <v>4.268485</v>
      </c>
      <c r="AE13" s="9" t="n">
        <v>4.285341</v>
      </c>
      <c r="AF13" s="9" t="n">
        <v>4.248105</v>
      </c>
      <c r="AG13" s="9" t="n">
        <v>4.089569</v>
      </c>
      <c r="AH13" s="9" t="n">
        <v>3.828689</v>
      </c>
      <c r="AI13" s="9" t="n">
        <v>3.845012</v>
      </c>
      <c r="AJ13" s="9" t="n">
        <v>3.778529</v>
      </c>
      <c r="AK13" s="9" t="n">
        <v>3.723774</v>
      </c>
      <c r="AL13" s="9" t="n">
        <v>3.646836</v>
      </c>
      <c r="AM13" s="9" t="n">
        <v>3.654987</v>
      </c>
      <c r="AO13" s="9">
        <f>E13-D13</f>
        <v/>
      </c>
      <c r="AP13" s="9">
        <f>F13-E13</f>
        <v/>
      </c>
      <c r="AQ13" s="9">
        <f>G13-F13</f>
        <v/>
      </c>
      <c r="AR13" s="9">
        <f>H13-G13</f>
        <v/>
      </c>
      <c r="AS13" s="9">
        <f>I13-H13</f>
        <v/>
      </c>
      <c r="AT13" s="9">
        <f>J13-I13</f>
        <v/>
      </c>
      <c r="AU13" s="9">
        <f>K13-J13</f>
        <v/>
      </c>
      <c r="AV13" s="9">
        <f>L13-K13</f>
        <v/>
      </c>
      <c r="AW13" s="9">
        <f>M13-L13</f>
        <v/>
      </c>
      <c r="AX13" s="9">
        <f>N13-M13</f>
        <v/>
      </c>
      <c r="AY13" s="9">
        <f>O13-N13</f>
        <v/>
      </c>
      <c r="AZ13" s="9">
        <f>P13-O13</f>
        <v/>
      </c>
      <c r="BA13" s="9">
        <f>Q13-P13</f>
        <v/>
      </c>
      <c r="BB13" s="9">
        <f>R13-Q13</f>
        <v/>
      </c>
      <c r="BC13" s="9">
        <f>S13-R13</f>
        <v/>
      </c>
      <c r="BD13" s="9">
        <f>T13-S13</f>
        <v/>
      </c>
      <c r="BE13" s="9">
        <f>U13-T13</f>
        <v/>
      </c>
      <c r="BF13" s="9">
        <f>V13-U13</f>
        <v/>
      </c>
      <c r="BG13" s="9">
        <f>W13-V13</f>
        <v/>
      </c>
      <c r="BH13" s="9">
        <f>X13-W13</f>
        <v/>
      </c>
      <c r="BI13" s="9">
        <f>Y13-X13</f>
        <v/>
      </c>
      <c r="BJ13" s="9">
        <f>Z13-Y13</f>
        <v/>
      </c>
      <c r="BK13" s="9">
        <f>AA13-Z13</f>
        <v/>
      </c>
      <c r="BL13" s="9">
        <f>AB13-AA13</f>
        <v/>
      </c>
      <c r="BM13" s="9">
        <f>AC13-AB13</f>
        <v/>
      </c>
      <c r="BN13" s="9">
        <f>AD13-AC13</f>
        <v/>
      </c>
      <c r="BO13" s="9">
        <f>AE13-AD13</f>
        <v/>
      </c>
      <c r="BP13" s="9">
        <f>AF13-AE13</f>
        <v/>
      </c>
      <c r="BQ13" s="9">
        <f>AG13-AF13</f>
        <v/>
      </c>
      <c r="BR13" s="9">
        <f>AH13-AG13</f>
        <v/>
      </c>
      <c r="BS13" s="9">
        <f>AI13-AH13</f>
        <v/>
      </c>
      <c r="BT13" s="9">
        <f>AJ13-AI13</f>
        <v/>
      </c>
      <c r="BU13" s="9">
        <f>AK13-AJ13</f>
        <v/>
      </c>
      <c r="BV13" s="9">
        <f>AL13-AK13</f>
        <v/>
      </c>
      <c r="BW13" s="9">
        <f>AM13-AL13</f>
        <v/>
      </c>
    </row>
  </sheetData>
  <mergeCells count="1">
    <mergeCell ref="A2:L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24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9" customWidth="1" min="2" max="2"/>
    <col width="10" customWidth="1" min="3" max="3"/>
    <col width="7" customWidth="1" min="4" max="4"/>
    <col width="8" customWidth="1" min="5" max="5"/>
    <col width="9" customWidth="1" min="6" max="6"/>
    <col width="10" customWidth="1" min="7" max="7"/>
    <col width="10" customWidth="1" min="8" max="8"/>
    <col width="11" customWidth="1" min="9" max="9"/>
    <col width="12" customWidth="1" min="10" max="10"/>
    <col width="13" customWidth="1" min="11" max="11"/>
    <col width="14" customWidth="1" min="12" max="12"/>
    <col width="10" customWidth="1" min="13" max="13"/>
    <col width="11" customWidth="1" min="14" max="14"/>
    <col width="9" customWidth="1" min="15" max="15"/>
    <col width="9" customWidth="1" min="16" max="16"/>
  </cols>
  <sheetData>
    <row r="1">
      <c r="A1" s="1" t="inlineStr">
        <is>
          <t>Зоны по всем кредитным метрикам, месячные ряды по 36 точек</t>
        </is>
      </c>
    </row>
    <row r="2" ht="36" customHeight="1">
      <c r="A2" s="2" t="inlineStr">
        <is>
          <t>Границы те же, что на листе «Зоны»: зелёная до L − M(4), жёлтая до L − M(1), красная до лимита. Колонки «% лимита» — та же граница как X = 1 − M(T)/L. Ряд топ-20 и CoR — на листе «Ряд», розничных метрик — на «Метрики — ряд».</t>
        </is>
      </c>
    </row>
    <row r="4" ht="34" customHeight="1">
      <c r="A4" s="5" t="inlineStr">
        <is>
          <t>Метрика</t>
        </is>
      </c>
      <c r="B4" s="5" t="inlineStr">
        <is>
          <t>Сегмент</t>
        </is>
      </c>
      <c r="C4" s="5" t="inlineStr">
        <is>
          <t>Лимит L</t>
        </is>
      </c>
      <c r="D4" s="5" t="inlineStr">
        <is>
          <t>Точек</t>
        </is>
      </c>
      <c r="E4" s="5" t="inlineStr">
        <is>
          <t>Шаг, мес</t>
        </is>
      </c>
      <c r="F4" s="5" t="inlineStr">
        <is>
          <t>σ_Δ</t>
        </is>
      </c>
      <c r="G4" s="5" t="inlineStr">
        <is>
          <t>M(4 мес)</t>
        </is>
      </c>
      <c r="H4" s="5" t="inlineStr">
        <is>
          <t>M(1 мес)</t>
        </is>
      </c>
      <c r="I4" s="5" t="inlineStr">
        <is>
          <t>Зел./жёлт.</t>
        </is>
      </c>
      <c r="J4" s="5" t="inlineStr">
        <is>
          <t>Жёлт./красн.</t>
        </is>
      </c>
      <c r="K4" s="5" t="inlineStr">
        <is>
          <t>Зел./жёлт., % L</t>
        </is>
      </c>
      <c r="L4" s="5" t="inlineStr">
        <is>
          <t>Жёлт./красн., % L</t>
        </is>
      </c>
      <c r="M4" s="5" t="inlineStr">
        <is>
          <t>Факт</t>
        </is>
      </c>
      <c r="N4" s="5" t="inlineStr">
        <is>
          <t>Зона</t>
        </is>
      </c>
      <c r="O4" s="5" t="inlineStr">
        <is>
          <t>D, σ</t>
        </is>
      </c>
      <c r="P4" s="5" t="inlineStr">
        <is>
          <t>SE(σ)</t>
        </is>
      </c>
    </row>
    <row r="5">
      <c r="A5" s="51" t="inlineStr">
        <is>
          <t>Топ-20 / собственный капитал</t>
        </is>
      </c>
      <c r="B5" s="64" t="inlineStr">
        <is>
          <t>KB</t>
        </is>
      </c>
      <c r="C5" s="65">
        <f>'Расчёт'!D12</f>
        <v/>
      </c>
      <c r="D5" s="66">
        <f>'Расчёт'!D10</f>
        <v/>
      </c>
      <c r="E5" s="66">
        <f>1</f>
        <v/>
      </c>
      <c r="F5" s="65">
        <f>'Расчёт'!D6</f>
        <v/>
      </c>
      <c r="G5" s="65">
        <f>'Расчёт'!D28</f>
        <v/>
      </c>
      <c r="H5" s="65">
        <f>'Расчёт'!D16</f>
        <v/>
      </c>
      <c r="I5" s="65">
        <f>'Расчёт'!D29</f>
        <v/>
      </c>
      <c r="J5" s="65">
        <f>'Расчёт'!D17</f>
        <v/>
      </c>
      <c r="K5" s="65">
        <f>I5/C5*100</f>
        <v/>
      </c>
      <c r="L5" s="65">
        <f>J5/C5*100</f>
        <v/>
      </c>
      <c r="M5" s="65">
        <f>'Расчёт'!D8</f>
        <v/>
      </c>
      <c r="N5" s="67">
        <f>IF(M5&gt;=C5,"НАРУШЕНИЕ",IF(M5&gt;=J5,"КРАСНАЯ",IF(M5&gt;=I5,"ЖЁЛТАЯ","зелёная")))</f>
        <v/>
      </c>
      <c r="O5" s="68">
        <f>(C5-M5)/F5</f>
        <v/>
      </c>
      <c r="P5" s="65">
        <f>F5/SQRT(2*(D5-2))</f>
        <v/>
      </c>
    </row>
    <row r="6" ht="26" customHeight="1">
      <c r="A6" s="4" t="inlineStr">
        <is>
          <t>CoR — стоимость риска (KB_PB)</t>
        </is>
      </c>
      <c r="B6" s="12" t="inlineStr">
        <is>
          <t>KB_PB</t>
        </is>
      </c>
      <c r="C6" s="11" t="n">
        <v>3</v>
      </c>
      <c r="D6" s="69">
        <f>COUNT(cor_kb)</f>
        <v/>
      </c>
      <c r="E6" s="69" t="n">
        <v>1</v>
      </c>
      <c r="F6" s="9">
        <f>STDEV(d_cor_kb)</f>
        <v/>
      </c>
      <c r="G6" s="9">
        <f>z_p*F6*SQRT(4/E6)</f>
        <v/>
      </c>
      <c r="H6" s="9">
        <f>z_p*F6*SQRT(1/E6)</f>
        <v/>
      </c>
      <c r="I6" s="9">
        <f>C6-G6</f>
        <v/>
      </c>
      <c r="J6" s="9">
        <f>C6-H6</f>
        <v/>
      </c>
      <c r="K6" s="24">
        <f>I6/C6*100</f>
        <v/>
      </c>
      <c r="L6" s="24">
        <f>J6/C6*100</f>
        <v/>
      </c>
      <c r="M6" s="9">
        <f>'Ряд'!O40</f>
        <v/>
      </c>
      <c r="N6" s="70">
        <f>IF(M6&gt;=C6,"НАРУШЕНИЕ",IF(M6&gt;=J6,"КРАСНАЯ",IF(M6&gt;=I6,"ЖЁЛТАЯ","зелёная")))</f>
        <v/>
      </c>
      <c r="O6" s="11">
        <f>(C6-M6)/F6</f>
        <v/>
      </c>
      <c r="P6" s="9">
        <f>F6/SQRT(2*(D6-2))</f>
        <v/>
      </c>
    </row>
    <row r="7" ht="26" customHeight="1">
      <c r="A7" s="4" t="inlineStr">
        <is>
          <t>CoR — стоимость риска (MSB)</t>
        </is>
      </c>
      <c r="B7" s="12" t="inlineStr">
        <is>
          <t>MSB</t>
        </is>
      </c>
      <c r="C7" s="11" t="n">
        <v>3.5</v>
      </c>
      <c r="D7" s="69">
        <f>COUNT(cor_ms)</f>
        <v/>
      </c>
      <c r="E7" s="69" t="n">
        <v>1</v>
      </c>
      <c r="F7" s="9">
        <f>STDEV(d_cor_ms)</f>
        <v/>
      </c>
      <c r="G7" s="9">
        <f>z_p*F7*SQRT(4/E7)</f>
        <v/>
      </c>
      <c r="H7" s="9">
        <f>z_p*F7*SQRT(1/E7)</f>
        <v/>
      </c>
      <c r="I7" s="9">
        <f>C7-G7</f>
        <v/>
      </c>
      <c r="J7" s="9">
        <f>C7-H7</f>
        <v/>
      </c>
      <c r="K7" s="24">
        <f>I7/C7*100</f>
        <v/>
      </c>
      <c r="L7" s="24">
        <f>J7/C7*100</f>
        <v/>
      </c>
      <c r="M7" s="9">
        <f>'Ряд'!R40</f>
        <v/>
      </c>
      <c r="N7" s="71">
        <f>IF(M7&gt;=C7,"НАРУШЕНИЕ",IF(M7&gt;=J7,"КРАСНАЯ",IF(M7&gt;=I7,"ЖЁЛТАЯ","зелёная")))</f>
        <v/>
      </c>
      <c r="O7" s="11">
        <f>(C7-M7)/F7</f>
        <v/>
      </c>
      <c r="P7" s="9">
        <f>F7/SQRT(2*(D7-2))</f>
        <v/>
      </c>
    </row>
    <row r="8" ht="26" customHeight="1">
      <c r="A8" s="4">
        <f>'Метрики — ряд'!A5</f>
        <v/>
      </c>
      <c r="B8" s="12">
        <f>'Метрики — ряд'!B5</f>
        <v/>
      </c>
      <c r="C8" s="11">
        <f>'Метрики — ряд'!C5</f>
        <v/>
      </c>
      <c r="D8" s="69">
        <f>COUNT('Метрики — ряд'!D5:AM5)</f>
        <v/>
      </c>
      <c r="E8" s="69" t="n">
        <v>1</v>
      </c>
      <c r="F8" s="9">
        <f>STDEV('Метрики — ряд'!AO5:BW5)</f>
        <v/>
      </c>
      <c r="G8" s="9">
        <f>z_p*F8*SQRT(4/E8)</f>
        <v/>
      </c>
      <c r="H8" s="9">
        <f>z_p*F8*SQRT(1/E8)</f>
        <v/>
      </c>
      <c r="I8" s="9">
        <f>C8-G8</f>
        <v/>
      </c>
      <c r="J8" s="9">
        <f>C8-H8</f>
        <v/>
      </c>
      <c r="K8" s="24">
        <f>I8/C8*100</f>
        <v/>
      </c>
      <c r="L8" s="24">
        <f>J8/C8*100</f>
        <v/>
      </c>
      <c r="M8" s="9">
        <f>'Метрики — ряд'!AM5</f>
        <v/>
      </c>
      <c r="N8" s="71">
        <f>IF(M8&gt;=C8,"НАРУШЕНИЕ",IF(M8&gt;=J8,"КРАСНАЯ",IF(M8&gt;=I8,"ЖЁЛТАЯ","зелёная")))</f>
        <v/>
      </c>
      <c r="O8" s="11">
        <f>(C8-M8)/F8</f>
        <v/>
      </c>
      <c r="P8" s="9">
        <f>F8/SQRT(2*(D8-2))</f>
        <v/>
      </c>
    </row>
    <row r="9" ht="26" customHeight="1">
      <c r="A9" s="4">
        <f>'Метрики — ряд'!A6</f>
        <v/>
      </c>
      <c r="B9" s="12">
        <f>'Метрики — ряд'!B6</f>
        <v/>
      </c>
      <c r="C9" s="11">
        <f>'Метрики — ряд'!C6</f>
        <v/>
      </c>
      <c r="D9" s="69">
        <f>COUNT('Метрики — ряд'!D6:AM6)</f>
        <v/>
      </c>
      <c r="E9" s="69" t="n">
        <v>1</v>
      </c>
      <c r="F9" s="9">
        <f>STDEV('Метрики — ряд'!AO6:BW6)</f>
        <v/>
      </c>
      <c r="G9" s="9">
        <f>z_p*F9*SQRT(4/E9)</f>
        <v/>
      </c>
      <c r="H9" s="9">
        <f>z_p*F9*SQRT(1/E9)</f>
        <v/>
      </c>
      <c r="I9" s="9">
        <f>C9-G9</f>
        <v/>
      </c>
      <c r="J9" s="9">
        <f>C9-H9</f>
        <v/>
      </c>
      <c r="K9" s="24">
        <f>I9/C9*100</f>
        <v/>
      </c>
      <c r="L9" s="24">
        <f>J9/C9*100</f>
        <v/>
      </c>
      <c r="M9" s="9">
        <f>'Метрики — ряд'!AM6</f>
        <v/>
      </c>
      <c r="N9" s="71">
        <f>IF(M9&gt;=C9,"НАРУШЕНИЕ",IF(M9&gt;=J9,"КРАСНАЯ",IF(M9&gt;=I9,"ЖЁЛТАЯ","зелёная")))</f>
        <v/>
      </c>
      <c r="O9" s="11">
        <f>(C9-M9)/F9</f>
        <v/>
      </c>
      <c r="P9" s="9">
        <f>F9/SQRT(2*(D9-2))</f>
        <v/>
      </c>
    </row>
    <row r="10" ht="26" customHeight="1">
      <c r="A10" s="4">
        <f>'Метрики — ряд'!A7</f>
        <v/>
      </c>
      <c r="B10" s="12">
        <f>'Метрики — ряд'!B7</f>
        <v/>
      </c>
      <c r="C10" s="11">
        <f>'Метрики — ряд'!C7</f>
        <v/>
      </c>
      <c r="D10" s="69">
        <f>COUNT('Метрики — ряд'!D7:AM7)</f>
        <v/>
      </c>
      <c r="E10" s="69" t="n">
        <v>1</v>
      </c>
      <c r="F10" s="9">
        <f>STDEV('Метрики — ряд'!AO7:BW7)</f>
        <v/>
      </c>
      <c r="G10" s="9">
        <f>z_p*F10*SQRT(4/E10)</f>
        <v/>
      </c>
      <c r="H10" s="9">
        <f>z_p*F10*SQRT(1/E10)</f>
        <v/>
      </c>
      <c r="I10" s="9">
        <f>C10-G10</f>
        <v/>
      </c>
      <c r="J10" s="9">
        <f>C10-H10</f>
        <v/>
      </c>
      <c r="K10" s="24">
        <f>I10/C10*100</f>
        <v/>
      </c>
      <c r="L10" s="24">
        <f>J10/C10*100</f>
        <v/>
      </c>
      <c r="M10" s="9">
        <f>'Метрики — ряд'!AM7</f>
        <v/>
      </c>
      <c r="N10" s="71">
        <f>IF(M10&gt;=C10,"НАРУШЕНИЕ",IF(M10&gt;=J10,"КРАСНАЯ",IF(M10&gt;=I10,"ЖЁЛТАЯ","зелёная")))</f>
        <v/>
      </c>
      <c r="O10" s="11">
        <f>(C10-M10)/F10</f>
        <v/>
      </c>
      <c r="P10" s="9">
        <f>F10/SQRT(2*(D10-2))</f>
        <v/>
      </c>
    </row>
    <row r="11" ht="26" customHeight="1">
      <c r="A11" s="4">
        <f>'Метрики — ряд'!A8</f>
        <v/>
      </c>
      <c r="B11" s="12">
        <f>'Метрики — ряд'!B8</f>
        <v/>
      </c>
      <c r="C11" s="11">
        <f>'Метрики — ряд'!C8</f>
        <v/>
      </c>
      <c r="D11" s="69">
        <f>COUNT('Метрики — ряд'!D8:AM8)</f>
        <v/>
      </c>
      <c r="E11" s="69" t="n">
        <v>1</v>
      </c>
      <c r="F11" s="9">
        <f>STDEV('Метрики — ряд'!AO8:BW8)</f>
        <v/>
      </c>
      <c r="G11" s="9">
        <f>z_p*F11*SQRT(4/E11)</f>
        <v/>
      </c>
      <c r="H11" s="9">
        <f>z_p*F11*SQRT(1/E11)</f>
        <v/>
      </c>
      <c r="I11" s="9">
        <f>C11-G11</f>
        <v/>
      </c>
      <c r="J11" s="9">
        <f>C11-H11</f>
        <v/>
      </c>
      <c r="K11" s="24">
        <f>I11/C11*100</f>
        <v/>
      </c>
      <c r="L11" s="24">
        <f>J11/C11*100</f>
        <v/>
      </c>
      <c r="M11" s="9">
        <f>'Метрики — ряд'!AM8</f>
        <v/>
      </c>
      <c r="N11" s="71">
        <f>IF(M11&gt;=C11,"НАРУШЕНИЕ",IF(M11&gt;=J11,"КРАСНАЯ",IF(M11&gt;=I11,"ЖЁЛТАЯ","зелёная")))</f>
        <v/>
      </c>
      <c r="O11" s="11">
        <f>(C11-M11)/F11</f>
        <v/>
      </c>
      <c r="P11" s="9">
        <f>F11/SQRT(2*(D11-2))</f>
        <v/>
      </c>
    </row>
    <row r="12" ht="26" customHeight="1">
      <c r="A12" s="4">
        <f>'Метрики — ряд'!A9</f>
        <v/>
      </c>
      <c r="B12" s="12">
        <f>'Метрики — ряд'!B9</f>
        <v/>
      </c>
      <c r="C12" s="11">
        <f>'Метрики — ряд'!C9</f>
        <v/>
      </c>
      <c r="D12" s="69">
        <f>COUNT('Метрики — ряд'!D9:AM9)</f>
        <v/>
      </c>
      <c r="E12" s="69" t="n">
        <v>1</v>
      </c>
      <c r="F12" s="9">
        <f>STDEV('Метрики — ряд'!AO9:BW9)</f>
        <v/>
      </c>
      <c r="G12" s="9">
        <f>z_p*F12*SQRT(4/E12)</f>
        <v/>
      </c>
      <c r="H12" s="9">
        <f>z_p*F12*SQRT(1/E12)</f>
        <v/>
      </c>
      <c r="I12" s="9">
        <f>C12-G12</f>
        <v/>
      </c>
      <c r="J12" s="9">
        <f>C12-H12</f>
        <v/>
      </c>
      <c r="K12" s="24">
        <f>I12/C12*100</f>
        <v/>
      </c>
      <c r="L12" s="24">
        <f>J12/C12*100</f>
        <v/>
      </c>
      <c r="M12" s="9">
        <f>'Метрики — ряд'!AM9</f>
        <v/>
      </c>
      <c r="N12" s="71">
        <f>IF(M12&gt;=C12,"НАРУШЕНИЕ",IF(M12&gt;=J12,"КРАСНАЯ",IF(M12&gt;=I12,"ЖЁЛТАЯ","зелёная")))</f>
        <v/>
      </c>
      <c r="O12" s="11">
        <f>(C12-M12)/F12</f>
        <v/>
      </c>
      <c r="P12" s="9">
        <f>F12/SQRT(2*(D12-2))</f>
        <v/>
      </c>
    </row>
    <row r="13" ht="26" customHeight="1">
      <c r="A13" s="4">
        <f>'Метрики — ряд'!A10</f>
        <v/>
      </c>
      <c r="B13" s="12">
        <f>'Метрики — ряд'!B10</f>
        <v/>
      </c>
      <c r="C13" s="11">
        <f>'Метрики — ряд'!C10</f>
        <v/>
      </c>
      <c r="D13" s="69">
        <f>COUNT('Метрики — ряд'!D10:AM10)</f>
        <v/>
      </c>
      <c r="E13" s="69" t="n">
        <v>1</v>
      </c>
      <c r="F13" s="9">
        <f>STDEV('Метрики — ряд'!AO10:BW10)</f>
        <v/>
      </c>
      <c r="G13" s="9">
        <f>z_p*F13*SQRT(4/E13)</f>
        <v/>
      </c>
      <c r="H13" s="9">
        <f>z_p*F13*SQRT(1/E13)</f>
        <v/>
      </c>
      <c r="I13" s="9">
        <f>C13-G13</f>
        <v/>
      </c>
      <c r="J13" s="9">
        <f>C13-H13</f>
        <v/>
      </c>
      <c r="K13" s="24">
        <f>I13/C13*100</f>
        <v/>
      </c>
      <c r="L13" s="24">
        <f>J13/C13*100</f>
        <v/>
      </c>
      <c r="M13" s="9">
        <f>'Метрики — ряд'!AM10</f>
        <v/>
      </c>
      <c r="N13" s="71">
        <f>IF(M13&gt;=C13,"НАРУШЕНИЕ",IF(M13&gt;=J13,"КРАСНАЯ",IF(M13&gt;=I13,"ЖЁЛТАЯ","зелёная")))</f>
        <v/>
      </c>
      <c r="O13" s="11">
        <f>(C13-M13)/F13</f>
        <v/>
      </c>
      <c r="P13" s="9">
        <f>F13/SQRT(2*(D13-2))</f>
        <v/>
      </c>
    </row>
    <row r="14" ht="26" customHeight="1">
      <c r="A14" s="4">
        <f>'Метрики — ряд'!A11</f>
        <v/>
      </c>
      <c r="B14" s="12">
        <f>'Метрики — ряд'!B11</f>
        <v/>
      </c>
      <c r="C14" s="11">
        <f>'Метрики — ряд'!C11</f>
        <v/>
      </c>
      <c r="D14" s="69">
        <f>COUNT('Метрики — ряд'!D11:AM11)</f>
        <v/>
      </c>
      <c r="E14" s="69" t="n">
        <v>1</v>
      </c>
      <c r="F14" s="9">
        <f>STDEV('Метрики — ряд'!AO11:BW11)</f>
        <v/>
      </c>
      <c r="G14" s="9">
        <f>z_p*F14*SQRT(4/E14)</f>
        <v/>
      </c>
      <c r="H14" s="9">
        <f>z_p*F14*SQRT(1/E14)</f>
        <v/>
      </c>
      <c r="I14" s="9">
        <f>C14-G14</f>
        <v/>
      </c>
      <c r="J14" s="9">
        <f>C14-H14</f>
        <v/>
      </c>
      <c r="K14" s="24">
        <f>I14/C14*100</f>
        <v/>
      </c>
      <c r="L14" s="24">
        <f>J14/C14*100</f>
        <v/>
      </c>
      <c r="M14" s="9">
        <f>'Метрики — ряд'!AM11</f>
        <v/>
      </c>
      <c r="N14" s="71">
        <f>IF(M14&gt;=C14,"НАРУШЕНИЕ",IF(M14&gt;=J14,"КРАСНАЯ",IF(M14&gt;=I14,"ЖЁЛТАЯ","зелёная")))</f>
        <v/>
      </c>
      <c r="O14" s="11">
        <f>(C14-M14)/F14</f>
        <v/>
      </c>
      <c r="P14" s="9">
        <f>F14/SQRT(2*(D14-2))</f>
        <v/>
      </c>
    </row>
    <row r="15" ht="26" customHeight="1">
      <c r="A15" s="4">
        <f>'Метрики — ряд'!A12</f>
        <v/>
      </c>
      <c r="B15" s="12">
        <f>'Метрики — ряд'!B12</f>
        <v/>
      </c>
      <c r="C15" s="11">
        <f>'Метрики — ряд'!C12</f>
        <v/>
      </c>
      <c r="D15" s="69">
        <f>COUNT('Метрики — ряд'!D12:AM12)</f>
        <v/>
      </c>
      <c r="E15" s="69" t="n">
        <v>1</v>
      </c>
      <c r="F15" s="9">
        <f>STDEV('Метрики — ряд'!AO12:BW12)</f>
        <v/>
      </c>
      <c r="G15" s="9">
        <f>z_p*F15*SQRT(4/E15)</f>
        <v/>
      </c>
      <c r="H15" s="9">
        <f>z_p*F15*SQRT(1/E15)</f>
        <v/>
      </c>
      <c r="I15" s="9">
        <f>C15-G15</f>
        <v/>
      </c>
      <c r="J15" s="9">
        <f>C15-H15</f>
        <v/>
      </c>
      <c r="K15" s="24">
        <f>I15/C15*100</f>
        <v/>
      </c>
      <c r="L15" s="24">
        <f>J15/C15*100</f>
        <v/>
      </c>
      <c r="M15" s="9">
        <f>'Метрики — ряд'!AM12</f>
        <v/>
      </c>
      <c r="N15" s="71">
        <f>IF(M15&gt;=C15,"НАРУШЕНИЕ",IF(M15&gt;=J15,"КРАСНАЯ",IF(M15&gt;=I15,"ЖЁЛТАЯ","зелёная")))</f>
        <v/>
      </c>
      <c r="O15" s="11">
        <f>(C15-M15)/F15</f>
        <v/>
      </c>
      <c r="P15" s="9">
        <f>F15/SQRT(2*(D15-2))</f>
        <v/>
      </c>
    </row>
    <row r="16" ht="26" customHeight="1">
      <c r="A16" s="4">
        <f>'Метрики — ряд'!A13</f>
        <v/>
      </c>
      <c r="B16" s="12">
        <f>'Метрики — ряд'!B13</f>
        <v/>
      </c>
      <c r="C16" s="11">
        <f>'Метрики — ряд'!C13</f>
        <v/>
      </c>
      <c r="D16" s="69">
        <f>COUNT('Метрики — ряд'!D13:AM13)</f>
        <v/>
      </c>
      <c r="E16" s="69" t="n">
        <v>1</v>
      </c>
      <c r="F16" s="9">
        <f>STDEV('Метрики — ряд'!AO13:BW13)</f>
        <v/>
      </c>
      <c r="G16" s="9">
        <f>z_p*F16*SQRT(4/E16)</f>
        <v/>
      </c>
      <c r="H16" s="9">
        <f>z_p*F16*SQRT(1/E16)</f>
        <v/>
      </c>
      <c r="I16" s="9">
        <f>C16-G16</f>
        <v/>
      </c>
      <c r="J16" s="9">
        <f>C16-H16</f>
        <v/>
      </c>
      <c r="K16" s="24">
        <f>I16/C16*100</f>
        <v/>
      </c>
      <c r="L16" s="24">
        <f>J16/C16*100</f>
        <v/>
      </c>
      <c r="M16" s="9">
        <f>'Метрики — ряд'!AM13</f>
        <v/>
      </c>
      <c r="N16" s="71">
        <f>IF(M16&gt;=C16,"НАРУШЕНИЕ",IF(M16&gt;=J16,"КРАСНАЯ",IF(M16&gt;=I16,"ЖЁЛТАЯ","зелёная")))</f>
        <v/>
      </c>
      <c r="O16" s="11">
        <f>(C16-M16)/F16</f>
        <v/>
      </c>
      <c r="P16" s="9">
        <f>F16/SQRT(2*(D16-2))</f>
        <v/>
      </c>
    </row>
    <row r="18" ht="40" customHeight="1">
      <c r="A18" s="3" t="inlineStr">
        <is>
          <t>Все двенадцать метрик — на месячных рядах по 36 точек</t>
        </is>
      </c>
      <c r="B18" s="4" t="inlineStr">
        <is>
          <t>Так стало с 15.09.2026. Первые две редакции листа считали девять розничных метрик и CoR на квартальном ряде из девяти точек, хотя месячные существовали: CoR — в том же файле, что и топ-20, EL и PD — на листе Monthly. Цена ошибки видна на CoR КБ/ПБ: σ 0,8514 вместо 1,2817, и метрика была показана зелёной, хотя она жёлтая.</t>
        </is>
      </c>
      <c r="C18" s="55" t="n"/>
      <c r="D18" s="55" t="n"/>
      <c r="E18" s="55" t="n"/>
      <c r="F18" s="55" t="n"/>
      <c r="G18" s="55" t="n"/>
      <c r="H18" s="55" t="n"/>
      <c r="I18" s="55" t="n"/>
      <c r="J18" s="55" t="n"/>
      <c r="K18" s="55" t="n"/>
      <c r="L18" s="55" t="n"/>
      <c r="M18" s="55" t="n"/>
      <c r="N18" s="55" t="n"/>
      <c r="O18" s="55" t="n"/>
      <c r="P18" s="56" t="n"/>
    </row>
    <row r="19" ht="104" customHeight="1">
      <c r="A19" s="3" t="inlineStr">
        <is>
          <t>У CoR КБ/ПБ буфер больше самого лимита — и причина не в зонах (Г36)</t>
        </is>
      </c>
      <c r="B19" s="4" t="inlineStr">
        <is>
          <t>M(4) = 3,2850 при лимите 3,00, поэтому граница зелёной уходит в минус (−0,2850), и колонка K показывает −9,5 %. Ранее это было записано здесь как свойство метрики — формулировка неверна и отозвана. Причина в ряде: σ по CoR не однородна по календарю. σ(февраль–март) = 3,0257 против σ(остальные) = 0,5998, отношение 5,04; пять приращений из 35 дают 87,4 % суммы квадратов, и все пять — январь–март. У десяти остальных метрик такого режима нет (отношение ≤ 1,76, у топ-20 — 0,66). На обычных месяцах граница зелёной равна +1,4625, X = +48,8 %, и метрика ЗЕЛЁНАЯ, а не жёлтая; зато в окне закрытия M(1) = 3,8776 превышает лимит, и зона там не предупреждает ни о чём. Смешанная σ прячет обе половины. Лист сознательно оставлен на смешанной σ: причина февральского скачка неизвестна (три версии в Г36), и калибровать до ответа на запрос нельзя. Светофор здесь переключается: 25 / 9 / 2 / 0.</t>
        </is>
      </c>
      <c r="C19" s="55" t="n"/>
      <c r="D19" s="55" t="n"/>
      <c r="E19" s="55" t="n"/>
      <c r="F19" s="55" t="n"/>
      <c r="G19" s="55" t="n"/>
      <c r="H19" s="55" t="n"/>
      <c r="I19" s="55" t="n"/>
      <c r="J19" s="55" t="n"/>
      <c r="K19" s="55" t="n"/>
      <c r="L19" s="55" t="n"/>
      <c r="M19" s="55" t="n"/>
      <c r="N19" s="55" t="n"/>
      <c r="O19" s="55" t="n"/>
      <c r="P19" s="56" t="n"/>
    </row>
    <row r="20" ht="40" customHeight="1">
      <c r="A20" s="3" t="inlineStr">
        <is>
          <t>Единого процента не существует</t>
        </is>
      </c>
      <c r="B20" s="4" t="inlineStr">
        <is>
          <t>Колонка K разбегается от −9,5 % (CoR КБ/ПБ) до 99,1 % (PD необеспеченные товарные). X = 1 − M(T)/L зависит от волатильности относительно лимита: у PD и EL σ крошечная, им граница нужна вплотную к лимиту; у CoR и топ-20 σ большая. Любой единый порог — компромисс, а не калибровка.</t>
        </is>
      </c>
      <c r="C20" s="55" t="n"/>
      <c r="D20" s="55" t="n"/>
      <c r="E20" s="55" t="n"/>
      <c r="F20" s="55" t="n"/>
      <c r="G20" s="55" t="n"/>
      <c r="H20" s="55" t="n"/>
      <c r="I20" s="55" t="n"/>
      <c r="J20" s="55" t="n"/>
      <c r="K20" s="55" t="n"/>
      <c r="L20" s="55" t="n"/>
      <c r="M20" s="55" t="n"/>
      <c r="N20" s="55" t="n"/>
      <c r="O20" s="55" t="n"/>
      <c r="P20" s="56" t="n"/>
    </row>
    <row r="21" ht="40" customHeight="1">
      <c r="A21" s="3" t="inlineStr">
        <is>
          <t>Девять розничных метрик зелёные, и теперь это доказано на нормальных данных</t>
        </is>
      </c>
      <c r="B21" s="4" t="inlineStr">
        <is>
          <t>Колонка O: расстояние до лимита 19,2–103,9 σ. На квартальном ряде было 8,6–84,8 σ при погрешности σ ±27 %; на месячном погрешность 12 %, и вывод тот же. Метрики не могут дойти до своих лимитов — панель из девяти зелёных ламп надо подавать именно так, а не как «всё под контролем».</t>
        </is>
      </c>
      <c r="C21" s="55" t="n"/>
      <c r="D21" s="55" t="n"/>
      <c r="E21" s="55" t="n"/>
      <c r="F21" s="55" t="n"/>
      <c r="G21" s="55" t="n"/>
      <c r="H21" s="55" t="n"/>
      <c r="I21" s="55" t="n"/>
      <c r="J21" s="55" t="n"/>
      <c r="K21" s="55" t="n"/>
      <c r="L21" s="55" t="n"/>
      <c r="M21" s="55" t="n"/>
      <c r="N21" s="55" t="n"/>
      <c r="O21" s="55" t="n"/>
      <c r="P21" s="56" t="n"/>
    </row>
    <row r="22" ht="40" customHeight="1">
      <c r="A22" s="3" t="inlineStr">
        <is>
          <t>Что по-прежнему не доказано</t>
        </is>
      </c>
      <c r="B22" s="4" t="inlineStr">
        <is>
          <t>Из 36 месяцев с отчётностью сверены 20; первые 16 — реконструкция (DECOMPOSITION § 10.2). И формула не умеет лимиты-полы: у k1, LCR, NSFR опасность в падении, границы там считаются как L + M(T). Если панель станет общей по всем рискам, формула обязана знать направление метрики.</t>
        </is>
      </c>
      <c r="C22" s="55" t="n"/>
      <c r="D22" s="55" t="n"/>
      <c r="E22" s="55" t="n"/>
      <c r="F22" s="55" t="n"/>
      <c r="G22" s="55" t="n"/>
      <c r="H22" s="55" t="n"/>
      <c r="I22" s="55" t="n"/>
      <c r="J22" s="55" t="n"/>
      <c r="K22" s="55" t="n"/>
      <c r="L22" s="55" t="n"/>
      <c r="M22" s="55" t="n"/>
      <c r="N22" s="55" t="n"/>
      <c r="O22" s="55" t="n"/>
      <c r="P22" s="56" t="n"/>
    </row>
    <row r="24" ht="32" customHeight="1">
      <c r="A24" s="2" t="inlineStr">
        <is>
          <t>Расстояние до лимита в собственных σ каждой метрики. Цвет столбика получен из колонки O этого же листа через границы z·√1 и z·√4, поэтому он совпадает с колонкой N по построению. Утилизация слева показана рядом нарочно: у CoR КБ/ПБ она отрицательна, а метрика — вторая ближайшая к лимиту.</t>
        </is>
      </c>
    </row>
  </sheetData>
  <mergeCells count="7">
    <mergeCell ref="B20:P20"/>
    <mergeCell ref="B19:P19"/>
    <mergeCell ref="B22:P22"/>
    <mergeCell ref="A24:G24"/>
    <mergeCell ref="B18:P18"/>
    <mergeCell ref="B21:P21"/>
    <mergeCell ref="A2:P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2026-09-15T05:35:46Z</dcterms:created>
  <dcterms:modified xmlns:dcterms="http://purl.org/dc/terms/" xmlns:xsi="http://www.w3.org/2001/XMLSchema-instance" xsi:type="dcterms:W3CDTF">2026-09-15T05:35:46Z</dcterms:modified>
</cp:coreProperties>
</file>