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" sheetId="9" state="visible" r:id="rId9"/>
  </sheets>
  <definedNames>
    <definedName name="v">'Ряд'!$H$5:$H$40</definedName>
    <definedName name="d">'Ряд'!$J$6:$J$40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7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6" fontId="4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</cols>
  <sheetData>
    <row r="1">
      <c r="A1" s="1" t="inlineStr">
        <is>
          <t>Ряд топ-20: 36 месячных точек, 01.08.2023 — 01.07.2026</t>
        </is>
      </c>
    </row>
    <row r="2" ht="4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</sheetData>
  <mergeCells count="2">
    <mergeCell ref="A2:M2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жёлтая граница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жёлтая линия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Жёлтая линия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жёлтой, T = 1</t>
        </is>
      </c>
      <c r="B18" s="4" t="inlineStr">
        <is>
          <t>сколько точек ряда не ниже жёлтой линии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жёлтой,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Жёлтая линия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жёлтой, T = 2</t>
        </is>
      </c>
      <c r="B22" s="4" t="inlineStr">
        <is>
          <t>сколько точек ряда не ниже жёлтой линии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жёлтой,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Жёлтая линия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жёлтой, T = 3</t>
        </is>
      </c>
      <c r="B26" s="4" t="inlineStr">
        <is>
          <t>сколько точек ряда не ниже жёлтой линии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жёлтой,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Жёлтая линия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жёлтой, T = 4</t>
        </is>
      </c>
      <c r="B30" s="4" t="inlineStr">
        <is>
          <t>сколько точек ряда не ниже жёлтой линии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жёлтой,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</sheetData>
  <mergeCells count="6">
    <mergeCell ref="A29:E29"/>
    <mergeCell ref="A2:E2"/>
    <mergeCell ref="A41:E41"/>
    <mergeCell ref="A19:E19"/>
    <mergeCell ref="A37:E37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2" customWidth="1" min="5" max="5"/>
    <col width="10" customWidth="1" min="6" max="6"/>
    <col width="54" customWidth="1" min="7" max="7"/>
  </cols>
  <sheetData>
    <row r="1">
      <c r="A1" s="1" t="inlineStr">
        <is>
          <t>Зоны: зелёная — жёлтая — красная</t>
        </is>
      </c>
    </row>
    <row r="2" ht="42" customHeight="1">
      <c r="A2" s="2" t="inlineStr">
        <is>
          <t>Жёлтая граница = X %% лимита, где X = 1 − M(T)/L считается из волатильности самой метрики, а не назначается. Красная начинается на лимите. Поэтому разметка не содержит ни одного подобранного числа: L приходит из ВНД, X — из ряда.</t>
        </is>
      </c>
    </row>
    <row r="4" ht="30" customHeight="1">
      <c r="A4" s="5" t="inlineStr">
        <is>
          <t>Зона</t>
        </is>
      </c>
      <c r="B4" s="5" t="inlineStr">
        <is>
          <t>Что означает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Наблюдений</t>
        </is>
      </c>
      <c r="F4" s="5" t="inlineStr">
        <is>
          <t>Доля, %</t>
        </is>
      </c>
      <c r="G4" s="5" t="inlineStr">
        <is>
          <t>Что делает</t>
        </is>
      </c>
    </row>
    <row r="5" ht="52" customHeight="1">
      <c r="A5" s="27" t="inlineStr">
        <is>
          <t>Зелёная</t>
        </is>
      </c>
      <c r="B5" s="28" t="inlineStr">
        <is>
          <t>в пределах аппетита</t>
        </is>
      </c>
      <c r="C5" s="29" t="inlineStr">
        <is>
          <t>—</t>
        </is>
      </c>
      <c r="D5" s="29">
        <f>'Расчёт'!D25</f>
        <v/>
      </c>
      <c r="E5" s="30">
        <f>COUNTIF(v,"&lt;"&amp;'Расчёт'!D25)</f>
        <v/>
      </c>
      <c r="F5" s="31">
        <f>E5/COUNT(v)*100</f>
        <v/>
      </c>
      <c r="G5" s="32" t="inlineStr">
        <is>
          <t>Штатное наблюдение: ежемесячный отчёт, отдельных действий не требуется</t>
        </is>
      </c>
    </row>
    <row r="6" ht="52" customHeight="1">
      <c r="A6" s="33" t="inlineStr">
        <is>
          <t>Жёлтая</t>
        </is>
      </c>
      <c r="B6" s="34" t="inlineStr">
        <is>
          <t>достигнут уровень, определённый как допустимый</t>
        </is>
      </c>
      <c r="C6" s="35">
        <f>'Расчёт'!D25</f>
        <v/>
      </c>
      <c r="D6" s="35">
        <f>'Расчёт'!D12</f>
        <v/>
      </c>
      <c r="E6" s="36">
        <f>COUNTIFS(v,"&gt;="&amp;'Расчёт'!D25,v,"&lt;"&amp;'Расчёт'!D12)</f>
        <v/>
      </c>
      <c r="F6" s="37">
        <f>E6/COUNT(v)*100</f>
        <v/>
      </c>
      <c r="G6" s="38" t="inlineStr">
        <is>
          <t>Ускоренное наблюдение и заранее согласованные меры. До лимита ещё есть время — в этом и смысл границы. Основание такого порога — Правила № 86, п. 18 пп. 2 (в CITED.md дословно не заведён, читать оригинал)</t>
        </is>
      </c>
    </row>
    <row r="7" ht="52" customHeight="1">
      <c r="A7" s="39" t="inlineStr">
        <is>
          <t>Красная</t>
        </is>
      </c>
      <c r="B7" s="40" t="inlineStr">
        <is>
          <t>нарушение лимита</t>
        </is>
      </c>
      <c r="C7" s="41">
        <f>'Расчёт'!D12</f>
        <v/>
      </c>
      <c r="D7" s="41" t="inlineStr">
        <is>
          <t>—</t>
        </is>
      </c>
      <c r="E7" s="42">
        <f>COUNTIF(v,"&gt;="&amp;'Расчёт'!D12)</f>
        <v/>
      </c>
      <c r="F7" s="43">
        <f>E7/COUNT(v)*100</f>
        <v/>
      </c>
      <c r="G7" s="44" t="inlineStr">
        <is>
          <t>Эскалация на уполномоченный орган по Политике п. 12-1 и п. 27. Конкретных мер и сроков в ВНД нет — это открытый пробел, а не пропуск в этой книге</t>
        </is>
      </c>
    </row>
    <row r="8" ht="30" customHeight="1">
      <c r="A8" s="45" t="inlineStr">
        <is>
          <t>Всего</t>
        </is>
      </c>
      <c r="B8" s="46" t="n"/>
      <c r="C8" s="46" t="n"/>
      <c r="D8" s="46" t="n"/>
      <c r="E8" s="47">
        <f>SUM(E5:E7)</f>
        <v/>
      </c>
      <c r="F8" s="48">
        <f>E8/COUNT(v)*100</f>
        <v/>
      </c>
      <c r="G8" s="49" t="inlineStr">
        <is>
          <t>Должно быть 36 и 100,0 %% — иначе границы не покрывают ряд целиком либо перекрываются.</t>
        </is>
      </c>
    </row>
    <row r="10">
      <c r="A10" s="50" t="inlineStr">
        <is>
          <t>Где мы сейчас</t>
        </is>
      </c>
    </row>
    <row r="11">
      <c r="A11" s="6" t="inlineStr">
        <is>
          <t>Текущая точка, 01.07.2026</t>
        </is>
      </c>
      <c r="B11" s="24">
        <f>'Расчёт'!D8</f>
        <v/>
      </c>
    </row>
    <row r="12">
      <c r="A12" s="6" t="inlineStr">
        <is>
          <t>Жёлтая граница</t>
        </is>
      </c>
      <c r="B12" s="24">
        <f>'Расчёт'!D25</f>
        <v/>
      </c>
    </row>
    <row r="13">
      <c r="A13" s="6" t="inlineStr">
        <is>
          <t>X — жёлтая в процентах лимита</t>
        </is>
      </c>
      <c r="B13" s="24">
        <f>'Расчёт'!D13</f>
        <v/>
      </c>
    </row>
    <row r="14">
      <c r="A14" s="6" t="inlineStr">
        <is>
          <t>Лимит (начало красной)</t>
        </is>
      </c>
      <c r="B14" s="24">
        <f>'Расчёт'!D12</f>
        <v/>
      </c>
    </row>
    <row r="15">
      <c r="A15" s="6" t="inlineStr">
        <is>
          <t>До лимита, пп</t>
        </is>
      </c>
      <c r="B15" s="24">
        <f>'Расчёт'!D12-'Расчёт'!D8</f>
        <v/>
      </c>
    </row>
    <row r="16">
      <c r="A16" s="6" t="inlineStr">
        <is>
          <t>T* — остаток времени, мес.</t>
        </is>
      </c>
      <c r="B16" s="24">
        <f>'Расчёт'!D45</f>
        <v/>
      </c>
    </row>
    <row r="17">
      <c r="A17" s="6" t="inlineStr">
        <is>
          <t>Состояние текущей точки</t>
        </is>
      </c>
      <c r="B17" s="33">
        <f>IF('Расчёт'!D8&gt;='Расчёт'!D12,"КРАСНАЯ — нарушение",IF('Расчёт'!D8&gt;='Расчёт'!D25,"ЖЁЛТАЯ","ЗЕЛЁНАЯ"))</f>
        <v/>
      </c>
    </row>
    <row r="19" ht="44" customHeight="1">
      <c r="A19" s="21" t="inlineStr">
        <is>
          <t>Цена этой разметки, названная прямо: красная зона за 36 месяцев не загоралась НИ РАЗУ и загорится только в момент нарушения лимита. Предупреждение целиком держится на жёлтой границе. Поэтому метод G (калибровка по историческим превышениям) на этом ряде неприменим — превышений ноль, калибровать не на чем.</t>
        </is>
      </c>
    </row>
    <row r="20" ht="52" customHeight="1">
      <c r="A20" s="21" t="inlineStr">
        <is>
          <t>ОТКРЫТЫЙ ВОПРОС. Стратегия риск-аппетита, п. 26, задаёт «три предела уровня рисков». Три предела дают четыре состояния, здесь их три — значит один из пределов либо совпадает с лимитом, либо не используется. Пункт дословно НЕ РАЗОБРАН. Отдельно неизвестно, каким из трёх пределов являются наши 95 %%: если это «допустимый уровень», а не предельный, то буфер вычитается не из того числа.</t>
        </is>
      </c>
    </row>
  </sheetData>
  <mergeCells count="3">
    <mergeCell ref="A20:G20"/>
    <mergeCell ref="A19:G19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1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52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1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52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45" t="inlineStr">
        <is>
          <t>Сработало</t>
        </is>
      </c>
      <c r="B41" s="47">
        <f>COUNTIF(E5:E39,"Займ")+COUNTIF(E5:E39,"СК")+COUNTIF(E5:E39,"оба")</f>
        <v/>
      </c>
      <c r="C41" s="53">
        <f>B41/35*100</f>
        <v/>
      </c>
      <c r="D41" s="54" t="inlineStr">
        <is>
          <t>из 35 приростов, %</t>
        </is>
      </c>
      <c r="E41" s="46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2" customWidth="1" min="22" max="22"/>
    <col width="7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2" customWidth="1" min="29" max="29"/>
    <col width="10" customWidth="1" min="30" max="30"/>
    <col width="11" customWidth="1" min="31" max="31"/>
    <col width="9" customWidth="1" min="32" max="32"/>
    <col width="9" customWidth="1" min="33" max="33"/>
  </cols>
  <sheetData>
    <row r="1">
      <c r="A1" s="1" t="inlineStr">
        <is>
          <t>Масштабирование: X = 1 − z(p)·σ_Δ·√T / L по кредитным метрикам</t>
        </is>
      </c>
    </row>
    <row r="2" ht="44" customHeight="1">
      <c r="A2" s="2" t="inlineStr">
        <is>
          <t>Колонки D–L — квартальный ряд формы № 50 (лист 50-5), N–U — приросты, W–AG — расчёт. Топ-20 в первой строке взят из месячного ряда листа «Ряд»: его квартальная строка в форме склеивает две базы капитала и даёт завышенную σ. T = 3 месяца, поэтому на квартальном шаге √T = 1.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Q2 2024</t>
        </is>
      </c>
      <c r="E4" s="5" t="inlineStr">
        <is>
          <t>Q3 2024</t>
        </is>
      </c>
      <c r="F4" s="5" t="inlineStr">
        <is>
          <t>Q4 2024</t>
        </is>
      </c>
      <c r="G4" s="5" t="inlineStr">
        <is>
          <t>Q1 2025</t>
        </is>
      </c>
      <c r="H4" s="5" t="inlineStr">
        <is>
          <t>Q2 2025</t>
        </is>
      </c>
      <c r="I4" s="5" t="inlineStr">
        <is>
          <t>Q3 2025</t>
        </is>
      </c>
      <c r="J4" s="5" t="inlineStr">
        <is>
          <t>Q4 2025</t>
        </is>
      </c>
      <c r="K4" s="5" t="inlineStr">
        <is>
          <t>Q1 2026</t>
        </is>
      </c>
      <c r="L4" s="5" t="inlineStr">
        <is>
          <t>Q2 2026</t>
        </is>
      </c>
      <c r="M4" s="5" t="inlineStr">
        <is>
          <t xml:space="preserve"> </t>
        </is>
      </c>
      <c r="N4" s="5" t="inlineStr">
        <is>
          <t>Δ1</t>
        </is>
      </c>
      <c r="O4" s="5" t="inlineStr">
        <is>
          <t>Δ2</t>
        </is>
      </c>
      <c r="P4" s="5" t="inlineStr">
        <is>
          <t>Δ3</t>
        </is>
      </c>
      <c r="Q4" s="5" t="inlineStr">
        <is>
          <t>Δ4</t>
        </is>
      </c>
      <c r="R4" s="5" t="inlineStr">
        <is>
          <t>Δ5</t>
        </is>
      </c>
      <c r="S4" s="5" t="inlineStr">
        <is>
          <t>Δ6</t>
        </is>
      </c>
      <c r="T4" s="5" t="inlineStr">
        <is>
          <t>Δ7</t>
        </is>
      </c>
      <c r="U4" s="5" t="inlineStr">
        <is>
          <t>Δ8</t>
        </is>
      </c>
      <c r="V4" s="5" t="inlineStr">
        <is>
          <t xml:space="preserve"> </t>
        </is>
      </c>
      <c r="W4" s="5" t="inlineStr">
        <is>
          <t>Точек</t>
        </is>
      </c>
      <c r="X4" s="5" t="inlineStr">
        <is>
          <t>Шаг, мес</t>
        </is>
      </c>
      <c r="Y4" s="5" t="inlineStr">
        <is>
          <t>T, шагов</t>
        </is>
      </c>
      <c r="Z4" s="5" t="inlineStr">
        <is>
          <t>σ_Δ</t>
        </is>
      </c>
      <c r="AA4" s="5" t="inlineStr">
        <is>
          <t>M(T)</t>
        </is>
      </c>
      <c r="AB4" s="5" t="inlineStr">
        <is>
          <t>X, % лимита</t>
        </is>
      </c>
      <c r="AC4" s="5" t="inlineStr">
        <is>
          <t>Жёлтая = L·X</t>
        </is>
      </c>
      <c r="AD4" s="5" t="inlineStr">
        <is>
          <t>Факт</t>
        </is>
      </c>
      <c r="AE4" s="5" t="inlineStr">
        <is>
          <t>Зона</t>
        </is>
      </c>
      <c r="AF4" s="5" t="inlineStr">
        <is>
          <t>D, σ</t>
        </is>
      </c>
      <c r="AG4" s="5" t="inlineStr">
        <is>
          <t>SE(σ)</t>
        </is>
      </c>
    </row>
    <row r="5">
      <c r="A5" s="45" t="inlineStr">
        <is>
          <t>Топ-20 / собственный капитал</t>
        </is>
      </c>
      <c r="B5" s="46" t="inlineStr">
        <is>
          <t>KB</t>
        </is>
      </c>
      <c r="C5" s="55">
        <f>'Расчёт'!D12</f>
        <v/>
      </c>
      <c r="D5" s="56" t="inlineStr">
        <is>
          <t>месячный ряд листа «Ряд», 36 точек — здесь не дублируется</t>
        </is>
      </c>
      <c r="W5" s="57">
        <f>'Расчёт'!D10</f>
        <v/>
      </c>
      <c r="X5" s="57">
        <f>1</f>
        <v/>
      </c>
      <c r="Y5" s="48">
        <f>T_cikl/X5</f>
        <v/>
      </c>
      <c r="Z5" s="55">
        <f>'Расчёт'!D6</f>
        <v/>
      </c>
      <c r="AA5" s="55">
        <f>'Расчёт'!D24</f>
        <v/>
      </c>
      <c r="AB5" s="55">
        <f>'Расчёт'!D13</f>
        <v/>
      </c>
      <c r="AC5" s="55">
        <f>'Расчёт'!D25</f>
        <v/>
      </c>
      <c r="AD5" s="55">
        <f>'Расчёт'!D8</f>
        <v/>
      </c>
      <c r="AE5" s="58">
        <f>IF(AD5&gt;=C5,"КРАСНАЯ",IF(AD5&gt;=AC5,"ЖЁЛТАЯ","зелёная"))</f>
        <v/>
      </c>
      <c r="AF5" s="59">
        <f>(C5-AD5)/Z5</f>
        <v/>
      </c>
      <c r="AG5" s="55">
        <f>Z5/SQRT(2*(W5-2))</f>
        <v/>
      </c>
    </row>
    <row r="6" ht="28" customHeight="1">
      <c r="A6" s="4" t="inlineStr">
        <is>
          <t>CoR — стоимость риска</t>
        </is>
      </c>
      <c r="B6" s="12" t="inlineStr">
        <is>
          <t>KB_PB</t>
        </is>
      </c>
      <c r="C6" s="11" t="n">
        <v>3</v>
      </c>
      <c r="D6" s="9" t="n">
        <v>-2.0902</v>
      </c>
      <c r="E6" s="9" t="n">
        <v>-1.9643</v>
      </c>
      <c r="F6" s="9" t="n">
        <v>-1.7727</v>
      </c>
      <c r="G6" s="9" t="n">
        <v>0.01</v>
      </c>
      <c r="H6" s="9" t="n">
        <v>-1.2848</v>
      </c>
      <c r="I6" s="9" t="n">
        <v>-0.9224</v>
      </c>
      <c r="J6" s="9" t="n">
        <v>-1</v>
      </c>
      <c r="K6" s="9" t="n">
        <v>-0.36</v>
      </c>
      <c r="L6" s="9" t="n">
        <v>-0.3458</v>
      </c>
      <c r="N6" s="9">
        <f>E6-D6</f>
        <v/>
      </c>
      <c r="O6" s="9">
        <f>F6-E6</f>
        <v/>
      </c>
      <c r="P6" s="9">
        <f>G6-F6</f>
        <v/>
      </c>
      <c r="Q6" s="9">
        <f>H6-G6</f>
        <v/>
      </c>
      <c r="R6" s="9">
        <f>I6-H6</f>
        <v/>
      </c>
      <c r="S6" s="9">
        <f>J6-I6</f>
        <v/>
      </c>
      <c r="T6" s="9">
        <f>K6-J6</f>
        <v/>
      </c>
      <c r="U6" s="9">
        <f>L6-K6</f>
        <v/>
      </c>
      <c r="W6" s="60">
        <f>COUNT(D6:L6)</f>
        <v/>
      </c>
      <c r="X6" s="60" t="n">
        <v>3</v>
      </c>
      <c r="Y6" s="61">
        <f>T_cikl/X6</f>
        <v/>
      </c>
      <c r="Z6" s="9">
        <f>STDEV(N6:U6)</f>
        <v/>
      </c>
      <c r="AA6" s="9">
        <f>z_p*Z6*SQRT(Y6)</f>
        <v/>
      </c>
      <c r="AB6" s="24">
        <f>(1-AA6/C6)*100</f>
        <v/>
      </c>
      <c r="AC6" s="9">
        <f>C6*AB6/100</f>
        <v/>
      </c>
      <c r="AD6" s="9">
        <f>L6</f>
        <v/>
      </c>
      <c r="AE6" s="62">
        <f>IF(AD6&gt;=C6,"КРАСНАЯ",IF(AD6&gt;=AC6,"ЖЁЛТАЯ","зелёная"))</f>
        <v/>
      </c>
      <c r="AF6" s="11">
        <f>(C6-AD6)/Z6</f>
        <v/>
      </c>
      <c r="AG6" s="9">
        <f>Z6/SQRT(2*(W6-2))</f>
        <v/>
      </c>
    </row>
    <row r="7" ht="28" customHeight="1">
      <c r="A7" s="4" t="inlineStr">
        <is>
          <t>CoR — стоимость риска</t>
        </is>
      </c>
      <c r="B7" s="12" t="inlineStr">
        <is>
          <t>MSB</t>
        </is>
      </c>
      <c r="C7" s="11" t="n">
        <v>3.5</v>
      </c>
      <c r="D7" s="9" t="n">
        <v>-0.8479</v>
      </c>
      <c r="E7" s="9" t="n">
        <v>-0.3506</v>
      </c>
      <c r="F7" s="9" t="n">
        <v>-0.6975</v>
      </c>
      <c r="G7" s="9" t="n">
        <v>-0.6975</v>
      </c>
      <c r="H7" s="9" t="n">
        <v>-2.0633</v>
      </c>
      <c r="I7" s="9" t="n">
        <v>-1.5076</v>
      </c>
      <c r="J7" s="9" t="n">
        <v>-0.98</v>
      </c>
      <c r="K7" s="9" t="n">
        <v>0.2</v>
      </c>
      <c r="L7" s="9" t="n">
        <v>0.2649</v>
      </c>
      <c r="N7" s="9">
        <f>E7-D7</f>
        <v/>
      </c>
      <c r="O7" s="9">
        <f>F7-E7</f>
        <v/>
      </c>
      <c r="P7" s="9">
        <f>G7-F7</f>
        <v/>
      </c>
      <c r="Q7" s="9">
        <f>H7-G7</f>
        <v/>
      </c>
      <c r="R7" s="9">
        <f>I7-H7</f>
        <v/>
      </c>
      <c r="S7" s="9">
        <f>J7-I7</f>
        <v/>
      </c>
      <c r="T7" s="9">
        <f>K7-J7</f>
        <v/>
      </c>
      <c r="U7" s="9">
        <f>L7-K7</f>
        <v/>
      </c>
      <c r="W7" s="60">
        <f>COUNT(D7:L7)</f>
        <v/>
      </c>
      <c r="X7" s="60" t="n">
        <v>3</v>
      </c>
      <c r="Y7" s="61">
        <f>T_cikl/X7</f>
        <v/>
      </c>
      <c r="Z7" s="9">
        <f>STDEV(N7:U7)</f>
        <v/>
      </c>
      <c r="AA7" s="9">
        <f>z_p*Z7*SQRT(Y7)</f>
        <v/>
      </c>
      <c r="AB7" s="24">
        <f>(1-AA7/C7)*100</f>
        <v/>
      </c>
      <c r="AC7" s="9">
        <f>C7*AB7/100</f>
        <v/>
      </c>
      <c r="AD7" s="9">
        <f>L7</f>
        <v/>
      </c>
      <c r="AE7" s="62">
        <f>IF(AD7&gt;=C7,"КРАСНАЯ",IF(AD7&gt;=AC7,"ЖЁЛТАЯ","зелёная"))</f>
        <v/>
      </c>
      <c r="AF7" s="11">
        <f>(C7-AD7)/Z7</f>
        <v/>
      </c>
      <c r="AG7" s="9">
        <f>Z7/SQRT(2*(W7-2))</f>
        <v/>
      </c>
    </row>
    <row r="8" ht="28" customHeight="1">
      <c r="A8" s="4" t="inlineStr">
        <is>
          <t>EL — ожидаемые потери, всего</t>
        </is>
      </c>
      <c r="B8" s="12" t="inlineStr">
        <is>
          <t>RB</t>
        </is>
      </c>
      <c r="C8" s="11" t="n">
        <v>9</v>
      </c>
      <c r="D8" s="9" t="n">
        <v>3.8605</v>
      </c>
      <c r="E8" s="9" t="n">
        <v>3.509</v>
      </c>
      <c r="F8" s="9" t="n">
        <v>3.0237</v>
      </c>
      <c r="G8" s="9" t="n">
        <v>2.8963</v>
      </c>
      <c r="H8" s="9" t="n">
        <v>2.8158</v>
      </c>
      <c r="I8" s="9" t="n">
        <v>2.6901</v>
      </c>
      <c r="J8" s="9" t="n">
        <v>2.615</v>
      </c>
      <c r="K8" s="9" t="n">
        <v>2.713</v>
      </c>
      <c r="L8" s="9" t="n">
        <v>2.7576</v>
      </c>
      <c r="N8" s="9">
        <f>E8-D8</f>
        <v/>
      </c>
      <c r="O8" s="9">
        <f>F8-E8</f>
        <v/>
      </c>
      <c r="P8" s="9">
        <f>G8-F8</f>
        <v/>
      </c>
      <c r="Q8" s="9">
        <f>H8-G8</f>
        <v/>
      </c>
      <c r="R8" s="9">
        <f>I8-H8</f>
        <v/>
      </c>
      <c r="S8" s="9">
        <f>J8-I8</f>
        <v/>
      </c>
      <c r="T8" s="9">
        <f>K8-J8</f>
        <v/>
      </c>
      <c r="U8" s="9">
        <f>L8-K8</f>
        <v/>
      </c>
      <c r="W8" s="60">
        <f>COUNT(D8:L8)</f>
        <v/>
      </c>
      <c r="X8" s="60" t="n">
        <v>3</v>
      </c>
      <c r="Y8" s="61">
        <f>T_cikl/X8</f>
        <v/>
      </c>
      <c r="Z8" s="9">
        <f>STDEV(N8:U8)</f>
        <v/>
      </c>
      <c r="AA8" s="9">
        <f>z_p*Z8*SQRT(Y8)</f>
        <v/>
      </c>
      <c r="AB8" s="24">
        <f>(1-AA8/C8)*100</f>
        <v/>
      </c>
      <c r="AC8" s="9">
        <f>C8*AB8/100</f>
        <v/>
      </c>
      <c r="AD8" s="9">
        <f>L8</f>
        <v/>
      </c>
      <c r="AE8" s="62">
        <f>IF(AD8&gt;=C8,"КРАСНАЯ",IF(AD8&gt;=AC8,"ЖЁЛТАЯ","зелёная"))</f>
        <v/>
      </c>
      <c r="AF8" s="11">
        <f>(C8-AD8)/Z8</f>
        <v/>
      </c>
      <c r="AG8" s="9">
        <f>Z8/SQRT(2*(W8-2))</f>
        <v/>
      </c>
    </row>
    <row r="9" ht="28" customHeight="1">
      <c r="A9" s="4" t="inlineStr">
        <is>
          <t>EL — необеспеченные</t>
        </is>
      </c>
      <c r="B9" s="12" t="inlineStr">
        <is>
          <t>RB</t>
        </is>
      </c>
      <c r="C9" s="11" t="n">
        <v>10</v>
      </c>
      <c r="D9" s="9" t="n">
        <v>7.909</v>
      </c>
      <c r="E9" s="9" t="n">
        <v>7.4644</v>
      </c>
      <c r="F9" s="9" t="n">
        <v>7.2344</v>
      </c>
      <c r="G9" s="9" t="n">
        <v>7.096</v>
      </c>
      <c r="H9" s="9" t="n">
        <v>7.0608</v>
      </c>
      <c r="I9" s="9" t="n">
        <v>7.0637</v>
      </c>
      <c r="J9" s="9" t="n">
        <v>7.0313</v>
      </c>
      <c r="K9" s="9" t="n">
        <v>7.0114</v>
      </c>
      <c r="L9" s="9" t="n">
        <v>7.5666</v>
      </c>
      <c r="N9" s="9">
        <f>E9-D9</f>
        <v/>
      </c>
      <c r="O9" s="9">
        <f>F9-E9</f>
        <v/>
      </c>
      <c r="P9" s="9">
        <f>G9-F9</f>
        <v/>
      </c>
      <c r="Q9" s="9">
        <f>H9-G9</f>
        <v/>
      </c>
      <c r="R9" s="9">
        <f>I9-H9</f>
        <v/>
      </c>
      <c r="S9" s="9">
        <f>J9-I9</f>
        <v/>
      </c>
      <c r="T9" s="9">
        <f>K9-J9</f>
        <v/>
      </c>
      <c r="U9" s="9">
        <f>L9-K9</f>
        <v/>
      </c>
      <c r="W9" s="60">
        <f>COUNT(D9:L9)</f>
        <v/>
      </c>
      <c r="X9" s="60" t="n">
        <v>3</v>
      </c>
      <c r="Y9" s="61">
        <f>T_cikl/X9</f>
        <v/>
      </c>
      <c r="Z9" s="9">
        <f>STDEV(N9:U9)</f>
        <v/>
      </c>
      <c r="AA9" s="9">
        <f>z_p*Z9*SQRT(Y9)</f>
        <v/>
      </c>
      <c r="AB9" s="24">
        <f>(1-AA9/C9)*100</f>
        <v/>
      </c>
      <c r="AC9" s="9">
        <f>C9*AB9/100</f>
        <v/>
      </c>
      <c r="AD9" s="9">
        <f>L9</f>
        <v/>
      </c>
      <c r="AE9" s="62">
        <f>IF(AD9&gt;=C9,"КРАСНАЯ",IF(AD9&gt;=AC9,"ЖЁЛТАЯ","зелёная"))</f>
        <v/>
      </c>
      <c r="AF9" s="11">
        <f>(C9-AD9)/Z9</f>
        <v/>
      </c>
      <c r="AG9" s="9">
        <f>Z9/SQRT(2*(W9-2))</f>
        <v/>
      </c>
    </row>
    <row r="10" ht="28" customHeight="1">
      <c r="A10" s="4" t="inlineStr">
        <is>
          <t>EL — обеспеченные</t>
        </is>
      </c>
      <c r="B10" s="12" t="inlineStr">
        <is>
          <t>RB</t>
        </is>
      </c>
      <c r="C10" s="11" t="n">
        <v>7</v>
      </c>
      <c r="D10" s="9" t="n">
        <v>1.5675</v>
      </c>
      <c r="E10" s="9" t="n">
        <v>1.4088</v>
      </c>
      <c r="F10" s="9" t="n">
        <v>1.3441</v>
      </c>
      <c r="G10" s="9" t="n">
        <v>1.3643</v>
      </c>
      <c r="H10" s="9" t="n">
        <v>1.3772</v>
      </c>
      <c r="I10" s="9" t="n">
        <v>1.3608</v>
      </c>
      <c r="J10" s="9" t="n">
        <v>1.4275</v>
      </c>
      <c r="K10" s="9" t="n">
        <v>1.5899</v>
      </c>
      <c r="L10" s="9" t="n">
        <v>1.636</v>
      </c>
      <c r="N10" s="9">
        <f>E10-D10</f>
        <v/>
      </c>
      <c r="O10" s="9">
        <f>F10-E10</f>
        <v/>
      </c>
      <c r="P10" s="9">
        <f>G10-F10</f>
        <v/>
      </c>
      <c r="Q10" s="9">
        <f>H10-G10</f>
        <v/>
      </c>
      <c r="R10" s="9">
        <f>I10-H10</f>
        <v/>
      </c>
      <c r="S10" s="9">
        <f>J10-I10</f>
        <v/>
      </c>
      <c r="T10" s="9">
        <f>K10-J10</f>
        <v/>
      </c>
      <c r="U10" s="9">
        <f>L10-K10</f>
        <v/>
      </c>
      <c r="W10" s="60">
        <f>COUNT(D10:L10)</f>
        <v/>
      </c>
      <c r="X10" s="60" t="n">
        <v>3</v>
      </c>
      <c r="Y10" s="61">
        <f>T_cikl/X10</f>
        <v/>
      </c>
      <c r="Z10" s="9">
        <f>STDEV(N10:U10)</f>
        <v/>
      </c>
      <c r="AA10" s="9">
        <f>z_p*Z10*SQRT(Y10)</f>
        <v/>
      </c>
      <c r="AB10" s="24">
        <f>(1-AA10/C10)*100</f>
        <v/>
      </c>
      <c r="AC10" s="9">
        <f>C10*AB10/100</f>
        <v/>
      </c>
      <c r="AD10" s="9">
        <f>L10</f>
        <v/>
      </c>
      <c r="AE10" s="62">
        <f>IF(AD10&gt;=C10,"КРАСНАЯ",IF(AD10&gt;=AC10,"ЖЁЛТАЯ","зелёная"))</f>
        <v/>
      </c>
      <c r="AF10" s="11">
        <f>(C10-AD10)/Z10</f>
        <v/>
      </c>
      <c r="AG10" s="9">
        <f>Z10/SQRT(2*(W10-2))</f>
        <v/>
      </c>
    </row>
    <row r="11" ht="28" customHeight="1">
      <c r="A11" s="4" t="inlineStr">
        <is>
          <t>EL — прочие</t>
        </is>
      </c>
      <c r="B11" s="12" t="inlineStr">
        <is>
          <t>RB</t>
        </is>
      </c>
      <c r="C11" s="11" t="n">
        <v>10</v>
      </c>
      <c r="D11" s="9" t="n">
        <v>3.2386</v>
      </c>
      <c r="E11" s="9" t="n">
        <v>2.8286</v>
      </c>
      <c r="F11" s="9" t="n">
        <v>2.6999</v>
      </c>
      <c r="G11" s="9" t="n">
        <v>2.6177</v>
      </c>
      <c r="H11" s="9" t="n">
        <v>2.5108</v>
      </c>
      <c r="I11" s="9" t="n">
        <v>2.5475</v>
      </c>
      <c r="J11" s="9" t="n">
        <v>2.4556</v>
      </c>
      <c r="K11" s="9" t="n">
        <v>2.2893</v>
      </c>
      <c r="L11" s="9" t="n">
        <v>2.4718</v>
      </c>
      <c r="N11" s="9">
        <f>E11-D11</f>
        <v/>
      </c>
      <c r="O11" s="9">
        <f>F11-E11</f>
        <v/>
      </c>
      <c r="P11" s="9">
        <f>G11-F11</f>
        <v/>
      </c>
      <c r="Q11" s="9">
        <f>H11-G11</f>
        <v/>
      </c>
      <c r="R11" s="9">
        <f>I11-H11</f>
        <v/>
      </c>
      <c r="S11" s="9">
        <f>J11-I11</f>
        <v/>
      </c>
      <c r="T11" s="9">
        <f>K11-J11</f>
        <v/>
      </c>
      <c r="U11" s="9">
        <f>L11-K11</f>
        <v/>
      </c>
      <c r="W11" s="60">
        <f>COUNT(D11:L11)</f>
        <v/>
      </c>
      <c r="X11" s="60" t="n">
        <v>3</v>
      </c>
      <c r="Y11" s="61">
        <f>T_cikl/X11</f>
        <v/>
      </c>
      <c r="Z11" s="9">
        <f>STDEV(N11:U11)</f>
        <v/>
      </c>
      <c r="AA11" s="9">
        <f>z_p*Z11*SQRT(Y11)</f>
        <v/>
      </c>
      <c r="AB11" s="24">
        <f>(1-AA11/C11)*100</f>
        <v/>
      </c>
      <c r="AC11" s="9">
        <f>C11*AB11/100</f>
        <v/>
      </c>
      <c r="AD11" s="9">
        <f>L11</f>
        <v/>
      </c>
      <c r="AE11" s="62">
        <f>IF(AD11&gt;=C11,"КРАСНАЯ",IF(AD11&gt;=AC11,"ЖЁЛТАЯ","зелёная"))</f>
        <v/>
      </c>
      <c r="AF11" s="11">
        <f>(C11-AD11)/Z11</f>
        <v/>
      </c>
      <c r="AG11" s="9">
        <f>Z11/SQRT(2*(W11-2))</f>
        <v/>
      </c>
    </row>
    <row r="12" ht="28" customHeight="1">
      <c r="A12" s="4" t="inlineStr">
        <is>
          <t>PD — необеспеченные</t>
        </is>
      </c>
      <c r="B12" s="12" t="inlineStr">
        <is>
          <t>RB</t>
        </is>
      </c>
      <c r="C12" s="11" t="n">
        <v>15</v>
      </c>
      <c r="D12" s="9" t="n">
        <v>12.1297</v>
      </c>
      <c r="E12" s="9" t="n">
        <v>12.0149</v>
      </c>
      <c r="F12" s="9" t="n">
        <v>11.7854</v>
      </c>
      <c r="G12" s="9" t="n">
        <v>11.5538</v>
      </c>
      <c r="H12" s="9" t="n">
        <v>11.4859</v>
      </c>
      <c r="I12" s="9" t="n">
        <v>11.4913</v>
      </c>
      <c r="J12" s="9" t="n">
        <v>11.2275</v>
      </c>
      <c r="K12" s="9" t="n">
        <v>11.0418</v>
      </c>
      <c r="L12" s="9" t="n">
        <v>10.9612</v>
      </c>
      <c r="N12" s="9">
        <f>E12-D12</f>
        <v/>
      </c>
      <c r="O12" s="9">
        <f>F12-E12</f>
        <v/>
      </c>
      <c r="P12" s="9">
        <f>G12-F12</f>
        <v/>
      </c>
      <c r="Q12" s="9">
        <f>H12-G12</f>
        <v/>
      </c>
      <c r="R12" s="9">
        <f>I12-H12</f>
        <v/>
      </c>
      <c r="S12" s="9">
        <f>J12-I12</f>
        <v/>
      </c>
      <c r="T12" s="9">
        <f>K12-J12</f>
        <v/>
      </c>
      <c r="U12" s="9">
        <f>L12-K12</f>
        <v/>
      </c>
      <c r="W12" s="60">
        <f>COUNT(D12:L12)</f>
        <v/>
      </c>
      <c r="X12" s="60" t="n">
        <v>3</v>
      </c>
      <c r="Y12" s="61">
        <f>T_cikl/X12</f>
        <v/>
      </c>
      <c r="Z12" s="9">
        <f>STDEV(N12:U12)</f>
        <v/>
      </c>
      <c r="AA12" s="9">
        <f>z_p*Z12*SQRT(Y12)</f>
        <v/>
      </c>
      <c r="AB12" s="24">
        <f>(1-AA12/C12)*100</f>
        <v/>
      </c>
      <c r="AC12" s="9">
        <f>C12*AB12/100</f>
        <v/>
      </c>
      <c r="AD12" s="9">
        <f>L12</f>
        <v/>
      </c>
      <c r="AE12" s="62">
        <f>IF(AD12&gt;=C12,"КРАСНАЯ",IF(AD12&gt;=AC12,"ЖЁЛТАЯ","зелёная"))</f>
        <v/>
      </c>
      <c r="AF12" s="11">
        <f>(C12-AD12)/Z12</f>
        <v/>
      </c>
      <c r="AG12" s="9">
        <f>Z12/SQRT(2*(W12-2))</f>
        <v/>
      </c>
    </row>
    <row r="13" ht="28" customHeight="1">
      <c r="A13" s="4" t="inlineStr">
        <is>
          <t>PD — необеспеченные, наличные</t>
        </is>
      </c>
      <c r="B13" s="12" t="inlineStr">
        <is>
          <t>RB</t>
        </is>
      </c>
      <c r="C13" s="11" t="n">
        <v>15</v>
      </c>
      <c r="D13" s="9" t="n">
        <v>12.273</v>
      </c>
      <c r="E13" s="9" t="n">
        <v>12.1698</v>
      </c>
      <c r="F13" s="9" t="n">
        <v>11.962</v>
      </c>
      <c r="G13" s="9" t="n">
        <v>11.7089</v>
      </c>
      <c r="H13" s="9" t="n">
        <v>11.6787</v>
      </c>
      <c r="I13" s="9" t="n">
        <v>11.717</v>
      </c>
      <c r="J13" s="9" t="n">
        <v>11.3418</v>
      </c>
      <c r="K13" s="9" t="n">
        <v>11.1281</v>
      </c>
      <c r="L13" s="9" t="n">
        <v>11.0461</v>
      </c>
      <c r="N13" s="9">
        <f>E13-D13</f>
        <v/>
      </c>
      <c r="O13" s="9">
        <f>F13-E13</f>
        <v/>
      </c>
      <c r="P13" s="9">
        <f>G13-F13</f>
        <v/>
      </c>
      <c r="Q13" s="9">
        <f>H13-G13</f>
        <v/>
      </c>
      <c r="R13" s="9">
        <f>I13-H13</f>
        <v/>
      </c>
      <c r="S13" s="9">
        <f>J13-I13</f>
        <v/>
      </c>
      <c r="T13" s="9">
        <f>K13-J13</f>
        <v/>
      </c>
      <c r="U13" s="9">
        <f>L13-K13</f>
        <v/>
      </c>
      <c r="W13" s="60">
        <f>COUNT(D13:L13)</f>
        <v/>
      </c>
      <c r="X13" s="60" t="n">
        <v>3</v>
      </c>
      <c r="Y13" s="61">
        <f>T_cikl/X13</f>
        <v/>
      </c>
      <c r="Z13" s="9">
        <f>STDEV(N13:U13)</f>
        <v/>
      </c>
      <c r="AA13" s="9">
        <f>z_p*Z13*SQRT(Y13)</f>
        <v/>
      </c>
      <c r="AB13" s="24">
        <f>(1-AA13/C13)*100</f>
        <v/>
      </c>
      <c r="AC13" s="9">
        <f>C13*AB13/100</f>
        <v/>
      </c>
      <c r="AD13" s="9">
        <f>L13</f>
        <v/>
      </c>
      <c r="AE13" s="62">
        <f>IF(AD13&gt;=C13,"КРАСНАЯ",IF(AD13&gt;=AC13,"ЖЁЛТАЯ","зелёная"))</f>
        <v/>
      </c>
      <c r="AF13" s="11">
        <f>(C13-AD13)/Z13</f>
        <v/>
      </c>
      <c r="AG13" s="9">
        <f>Z13/SQRT(2*(W13-2))</f>
        <v/>
      </c>
    </row>
    <row r="14" ht="28" customHeight="1">
      <c r="A14" s="4" t="inlineStr">
        <is>
          <t>PD — необеспеченные, товарные</t>
        </is>
      </c>
      <c r="B14" s="12" t="inlineStr">
        <is>
          <t>RB</t>
        </is>
      </c>
      <c r="C14" s="11" t="n">
        <v>15</v>
      </c>
      <c r="D14" s="9" t="n">
        <v>11.5958</v>
      </c>
      <c r="E14" s="9" t="n">
        <v>11.4065</v>
      </c>
      <c r="F14" s="9" t="n">
        <v>11.0036</v>
      </c>
      <c r="G14" s="9" t="n">
        <v>10.8888</v>
      </c>
      <c r="H14" s="9" t="n">
        <v>10.5721</v>
      </c>
      <c r="I14" s="9" t="n">
        <v>10.3809</v>
      </c>
      <c r="J14" s="9" t="n">
        <v>10.601</v>
      </c>
      <c r="K14" s="9" t="n">
        <v>10.6296</v>
      </c>
      <c r="L14" s="9" t="n">
        <v>10.5865</v>
      </c>
      <c r="N14" s="9">
        <f>E14-D14</f>
        <v/>
      </c>
      <c r="O14" s="9">
        <f>F14-E14</f>
        <v/>
      </c>
      <c r="P14" s="9">
        <f>G14-F14</f>
        <v/>
      </c>
      <c r="Q14" s="9">
        <f>H14-G14</f>
        <v/>
      </c>
      <c r="R14" s="9">
        <f>I14-H14</f>
        <v/>
      </c>
      <c r="S14" s="9">
        <f>J14-I14</f>
        <v/>
      </c>
      <c r="T14" s="9">
        <f>K14-J14</f>
        <v/>
      </c>
      <c r="U14" s="9">
        <f>L14-K14</f>
        <v/>
      </c>
      <c r="W14" s="60">
        <f>COUNT(D14:L14)</f>
        <v/>
      </c>
      <c r="X14" s="60" t="n">
        <v>3</v>
      </c>
      <c r="Y14" s="61">
        <f>T_cikl/X14</f>
        <v/>
      </c>
      <c r="Z14" s="9">
        <f>STDEV(N14:U14)</f>
        <v/>
      </c>
      <c r="AA14" s="9">
        <f>z_p*Z14*SQRT(Y14)</f>
        <v/>
      </c>
      <c r="AB14" s="24">
        <f>(1-AA14/C14)*100</f>
        <v/>
      </c>
      <c r="AC14" s="9">
        <f>C14*AB14/100</f>
        <v/>
      </c>
      <c r="AD14" s="9">
        <f>L14</f>
        <v/>
      </c>
      <c r="AE14" s="62">
        <f>IF(AD14&gt;=C14,"КРАСНАЯ",IF(AD14&gt;=AC14,"ЖЁЛТАЯ","зелёная"))</f>
        <v/>
      </c>
      <c r="AF14" s="11">
        <f>(C14-AD14)/Z14</f>
        <v/>
      </c>
      <c r="AG14" s="9">
        <f>Z14/SQRT(2*(W14-2))</f>
        <v/>
      </c>
    </row>
    <row r="15" ht="28" customHeight="1">
      <c r="A15" s="4" t="inlineStr">
        <is>
          <t>PD — обеспеченные</t>
        </is>
      </c>
      <c r="B15" s="12" t="inlineStr">
        <is>
          <t>RB</t>
        </is>
      </c>
      <c r="C15" s="11" t="n">
        <v>7</v>
      </c>
      <c r="D15" s="9" t="n">
        <v>5.3105</v>
      </c>
      <c r="E15" s="9" t="n">
        <v>5.2189</v>
      </c>
      <c r="F15" s="9" t="n">
        <v>5.0309</v>
      </c>
      <c r="G15" s="9" t="n">
        <v>5.0827</v>
      </c>
      <c r="H15" s="9" t="n">
        <v>5.1339</v>
      </c>
      <c r="I15" s="9" t="n">
        <v>5.1477</v>
      </c>
      <c r="J15" s="9" t="n">
        <v>5.0871</v>
      </c>
      <c r="K15" s="9" t="n">
        <v>5.0976</v>
      </c>
      <c r="L15" s="9" t="n">
        <v>5.015</v>
      </c>
      <c r="N15" s="9">
        <f>E15-D15</f>
        <v/>
      </c>
      <c r="O15" s="9">
        <f>F15-E15</f>
        <v/>
      </c>
      <c r="P15" s="9">
        <f>G15-F15</f>
        <v/>
      </c>
      <c r="Q15" s="9">
        <f>H15-G15</f>
        <v/>
      </c>
      <c r="R15" s="9">
        <f>I15-H15</f>
        <v/>
      </c>
      <c r="S15" s="9">
        <f>J15-I15</f>
        <v/>
      </c>
      <c r="T15" s="9">
        <f>K15-J15</f>
        <v/>
      </c>
      <c r="U15" s="9">
        <f>L15-K15</f>
        <v/>
      </c>
      <c r="W15" s="60">
        <f>COUNT(D15:L15)</f>
        <v/>
      </c>
      <c r="X15" s="60" t="n">
        <v>3</v>
      </c>
      <c r="Y15" s="61">
        <f>T_cikl/X15</f>
        <v/>
      </c>
      <c r="Z15" s="9">
        <f>STDEV(N15:U15)</f>
        <v/>
      </c>
      <c r="AA15" s="9">
        <f>z_p*Z15*SQRT(Y15)</f>
        <v/>
      </c>
      <c r="AB15" s="24">
        <f>(1-AA15/C15)*100</f>
        <v/>
      </c>
      <c r="AC15" s="9">
        <f>C15*AB15/100</f>
        <v/>
      </c>
      <c r="AD15" s="9">
        <f>L15</f>
        <v/>
      </c>
      <c r="AE15" s="62">
        <f>IF(AD15&gt;=C15,"КРАСНАЯ",IF(AD15&gt;=AC15,"ЖЁЛТАЯ","зелёная"))</f>
        <v/>
      </c>
      <c r="AF15" s="11">
        <f>(C15-AD15)/Z15</f>
        <v/>
      </c>
      <c r="AG15" s="9">
        <f>Z15/SQRT(2*(W15-2))</f>
        <v/>
      </c>
    </row>
    <row r="16" ht="28" customHeight="1">
      <c r="A16" s="4" t="inlineStr">
        <is>
          <t>PD — прочие</t>
        </is>
      </c>
      <c r="B16" s="12" t="inlineStr">
        <is>
          <t>RB</t>
        </is>
      </c>
      <c r="C16" s="11" t="n">
        <v>14</v>
      </c>
      <c r="D16" s="9" t="n">
        <v>4.8964</v>
      </c>
      <c r="E16" s="9" t="n">
        <v>4.5923</v>
      </c>
      <c r="F16" s="9" t="n">
        <v>4.4563</v>
      </c>
      <c r="G16" s="9" t="n">
        <v>4.3212</v>
      </c>
      <c r="H16" s="9" t="n">
        <v>4.1906</v>
      </c>
      <c r="I16" s="9" t="n">
        <v>4.2695</v>
      </c>
      <c r="J16" s="9" t="n">
        <v>4.0896</v>
      </c>
      <c r="K16" s="9" t="n">
        <v>3.7785</v>
      </c>
      <c r="L16" s="9" t="n">
        <v>3.655</v>
      </c>
      <c r="N16" s="9">
        <f>E16-D16</f>
        <v/>
      </c>
      <c r="O16" s="9">
        <f>F16-E16</f>
        <v/>
      </c>
      <c r="P16" s="9">
        <f>G16-F16</f>
        <v/>
      </c>
      <c r="Q16" s="9">
        <f>H16-G16</f>
        <v/>
      </c>
      <c r="R16" s="9">
        <f>I16-H16</f>
        <v/>
      </c>
      <c r="S16" s="9">
        <f>J16-I16</f>
        <v/>
      </c>
      <c r="T16" s="9">
        <f>K16-J16</f>
        <v/>
      </c>
      <c r="U16" s="9">
        <f>L16-K16</f>
        <v/>
      </c>
      <c r="W16" s="60">
        <f>COUNT(D16:L16)</f>
        <v/>
      </c>
      <c r="X16" s="60" t="n">
        <v>3</v>
      </c>
      <c r="Y16" s="61">
        <f>T_cikl/X16</f>
        <v/>
      </c>
      <c r="Z16" s="9">
        <f>STDEV(N16:U16)</f>
        <v/>
      </c>
      <c r="AA16" s="9">
        <f>z_p*Z16*SQRT(Y16)</f>
        <v/>
      </c>
      <c r="AB16" s="24">
        <f>(1-AA16/C16)*100</f>
        <v/>
      </c>
      <c r="AC16" s="9">
        <f>C16*AB16/100</f>
        <v/>
      </c>
      <c r="AD16" s="9">
        <f>L16</f>
        <v/>
      </c>
      <c r="AE16" s="62">
        <f>IF(AD16&gt;=C16,"КРАСНАЯ",IF(AD16&gt;=AC16,"ЖЁЛТАЯ","зелёная"))</f>
        <v/>
      </c>
      <c r="AF16" s="11">
        <f>(C16-AD16)/Z16</f>
        <v/>
      </c>
      <c r="AG16" s="9">
        <f>Z16/SQRT(2*(W16-2))</f>
        <v/>
      </c>
    </row>
    <row r="18">
      <c r="A18" s="50" t="inlineStr">
        <is>
          <t>Что из этого следует</t>
        </is>
      </c>
    </row>
    <row r="19" ht="40" customHeight="1">
      <c r="A19" s="3" t="inlineStr">
        <is>
          <t>Единого X не существует</t>
        </is>
      </c>
      <c r="B19" s="4" t="inlineStr">
        <is>
          <t>Колонка AB разбегается от 63,6 %% (CoR) до 99,2 %% (PD необеспеченных). X = 1 − z·σ·√T/L зависит от волатильности относительно лимита: у PD и EL σ крошечная, им жёлтая нужна вплотную к лимиту; у CoR и топ-20 σ большая. Единый порог 85 %% для CoR поздний, для PD ранний в десять раз.</t>
        </is>
      </c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4" t="n"/>
    </row>
    <row r="20" ht="40" customHeight="1">
      <c r="A20" s="3" t="inlineStr">
        <is>
          <t>Одиннадцать метрик из двенадцати — зелёные, и это правда</t>
        </is>
      </c>
      <c r="B20" s="4" t="inlineStr">
        <is>
          <t>Колонка AF: расстояние до лимита 8,6–84,8 σ. Это не пробел в наблюдении, а факт: метрики не могут дойти до своих лимитов. Панель из одиннадцати зелёных ламп надо подавать именно так, а не как «всё под контролем».</t>
        </is>
      </c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4" t="n"/>
    </row>
    <row r="21" ht="40" customHeight="1">
      <c r="A21" s="3" t="inlineStr">
        <is>
          <t>σ известна с точностью ±25 %%</t>
        </is>
      </c>
      <c r="B21" s="4" t="inlineStr">
        <is>
          <t>Колонка AG — стандартная ошибка σ. При восьми приростах она составляет около четверти самой σ, тогда как на месячном ряде топ-20 — 12 %%. Жёлтая граница у квартальных метрик известна с той же точностью.</t>
        </is>
      </c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4" t="n"/>
    </row>
    <row r="22" ht="40" customHeight="1">
      <c r="A22" s="3" t="inlineStr">
        <is>
          <t>Дрейф, которого формула не учитывает</t>
        </is>
      </c>
      <c r="B22" s="4" t="inlineStr">
        <is>
          <t>У PD необеспеченных средний квартальный прирост по модулю превышает весь буфер M(T). Ряды не блуждают, а падают монотонно; для тренда σ приростов измеряет наклон, а не волатильность. Допущение нулевого дрейфа, безвредное на топ-20, здесь не выполняется.</t>
        </is>
      </c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4" t="n"/>
    </row>
    <row r="23" ht="40" customHeight="1">
      <c r="A23" s="3" t="inlineStr">
        <is>
          <t>Чего на этом листе нет</t>
        </is>
      </c>
      <c r="B23" s="4" t="inlineStr">
        <is>
          <t>Лимитов-полов. У кредитных метрик все лимиты — потолки, и формула верна. Для k1, LCR, NSFR опасность в падении, и жёлтая должна считаться как L·(1 + M/L), а не L·(1 − M/L). Если панель станет общей по всем рискам, формула обязана знать направление метрики.</t>
        </is>
      </c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4" t="n"/>
    </row>
  </sheetData>
  <mergeCells count="7">
    <mergeCell ref="B21:L21"/>
    <mergeCell ref="D5:U5"/>
    <mergeCell ref="B19:L19"/>
    <mergeCell ref="B20:L20"/>
    <mergeCell ref="A2:G2"/>
    <mergeCell ref="B22:L22"/>
    <mergeCell ref="B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2026-09-14T12:17:35Z</dcterms:created>
  <dcterms:modified xmlns:dcterms="http://purl.org/dc/terms/" xmlns:xsi="http://www.w3.org/2001/XMLSchema-instance" xsi:type="dcterms:W3CDTF">2026-09-14T12:17:36Z</dcterms:modified>
</cp:coreProperties>
</file>